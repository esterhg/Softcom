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OIH-DQ4N944 Copia\Downloads\"/>
    </mc:Choice>
  </mc:AlternateContent>
  <xr:revisionPtr revIDLastSave="0" documentId="13_ncr:1_{610C42E5-F4AB-4ECE-B5FD-ED41F8C7122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LIMPIEZA (ENE,MAY,SEP)" sheetId="2" r:id="rId1"/>
    <sheet name="SEGURIDAD I (FEB)" sheetId="3" r:id="rId2"/>
    <sheet name="PUERTA (MAR, JUL, NOV)" sheetId="4" r:id="rId3"/>
    <sheet name="COMANDO (ABR,OCT)" sheetId="5" r:id="rId4"/>
    <sheet name="MAQUINARIA (JUN,DEC)" sheetId="6" r:id="rId5"/>
    <sheet name="SEGURIDAD II (AGO)" sheetId="7" r:id="rId6"/>
    <sheet name="Planilha1" sheetId="8" state="hidden" r:id="rId7"/>
  </sheets>
  <definedNames>
    <definedName name="_xlnm._FilterDatabase" localSheetId="3" hidden="1">'COMANDO (ABR,OCT)'!$A$1:$A$87</definedName>
    <definedName name="_xlnm._FilterDatabase" localSheetId="0" hidden="1">'LIMPIEZA (ENE,MAY,SEP)'!$A$1:$A$48</definedName>
    <definedName name="_xlnm._FilterDatabase" localSheetId="4" hidden="1">'MAQUINARIA (JUN,DEC)'!$A$1:$A$52</definedName>
    <definedName name="_xlnm._FilterDatabase" localSheetId="2" hidden="1">'PUERTA (MAR, JUL, NOV)'!$A$1:$A$46</definedName>
    <definedName name="_xlnm._FilterDatabase" localSheetId="1" hidden="1">'SEGURIDAD I (FEB)'!$A$1:$A$81</definedName>
    <definedName name="_xlnm._FilterDatabase" localSheetId="5" hidden="1">'SEGURIDAD II (AGO)'!$A$1:$A$95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8" l="1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4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4" i="8"/>
  <c r="N111" i="8" l="1"/>
  <c r="N87" i="8"/>
  <c r="N75" i="8"/>
  <c r="N51" i="8"/>
  <c r="N39" i="8"/>
  <c r="N27" i="8"/>
  <c r="N17" i="8"/>
  <c r="N123" i="8"/>
  <c r="N99" i="8"/>
  <c r="N63" i="8"/>
  <c r="N5" i="8"/>
  <c r="N7" i="8"/>
  <c r="N15" i="8"/>
  <c r="N13" i="8"/>
  <c r="N22" i="8"/>
  <c r="N11" i="8"/>
  <c r="N70" i="8"/>
  <c r="N10" i="8"/>
  <c r="N46" i="8"/>
  <c r="N14" i="8"/>
  <c r="N35" i="8"/>
  <c r="N82" i="8"/>
  <c r="N34" i="8"/>
  <c r="N12" i="8"/>
  <c r="N59" i="8"/>
  <c r="N47" i="8"/>
  <c r="N23" i="8"/>
  <c r="N58" i="8"/>
  <c r="N19" i="8"/>
  <c r="N103" i="8"/>
  <c r="N67" i="8"/>
  <c r="N31" i="8"/>
  <c r="N91" i="8"/>
  <c r="N55" i="8"/>
  <c r="N79" i="8"/>
  <c r="N43" i="8"/>
  <c r="N98" i="8"/>
  <c r="N85" i="8"/>
  <c r="N73" i="8"/>
  <c r="N61" i="8"/>
  <c r="N49" i="8"/>
  <c r="N25" i="8"/>
  <c r="N122" i="8"/>
  <c r="N110" i="8"/>
  <c r="N86" i="8"/>
  <c r="N74" i="8"/>
  <c r="N62" i="8"/>
  <c r="N50" i="8"/>
  <c r="N38" i="8"/>
  <c r="N26" i="8"/>
  <c r="N72" i="8"/>
  <c r="N60" i="8"/>
  <c r="N48" i="8"/>
  <c r="N24" i="8"/>
  <c r="N37" i="8"/>
  <c r="N36" i="8"/>
  <c r="N80" i="8"/>
  <c r="N20" i="8"/>
  <c r="N56" i="8"/>
  <c r="N32" i="8"/>
  <c r="N68" i="8"/>
  <c r="N44" i="8"/>
  <c r="N124" i="8"/>
  <c r="N112" i="8"/>
  <c r="N100" i="8"/>
  <c r="N88" i="8"/>
  <c r="N76" i="8"/>
  <c r="N64" i="8"/>
  <c r="N52" i="8"/>
  <c r="N40" i="8"/>
  <c r="N28" i="8"/>
  <c r="N4" i="8"/>
  <c r="N16" i="8"/>
  <c r="N130" i="8"/>
  <c r="N118" i="8"/>
  <c r="N106" i="8"/>
  <c r="N94" i="8"/>
  <c r="N127" i="8"/>
  <c r="N115" i="8"/>
  <c r="N126" i="8"/>
  <c r="N114" i="8"/>
  <c r="N102" i="8"/>
  <c r="N90" i="8"/>
  <c r="N78" i="8"/>
  <c r="N66" i="8"/>
  <c r="N54" i="8"/>
  <c r="N42" i="8"/>
  <c r="N30" i="8"/>
  <c r="N113" i="8"/>
  <c r="N101" i="8"/>
  <c r="N89" i="8"/>
  <c r="N77" i="8"/>
  <c r="N65" i="8"/>
  <c r="N53" i="8"/>
  <c r="N41" i="8"/>
  <c r="N29" i="8"/>
  <c r="N125" i="8"/>
  <c r="N18" i="8"/>
  <c r="N6" i="8"/>
  <c r="N116" i="8"/>
  <c r="N92" i="8"/>
  <c r="N9" i="8"/>
  <c r="N8" i="8"/>
  <c r="N121" i="8"/>
  <c r="N97" i="8"/>
  <c r="N132" i="8"/>
  <c r="N108" i="8"/>
  <c r="N84" i="8"/>
  <c r="N109" i="8"/>
  <c r="N120" i="8"/>
  <c r="N96" i="8"/>
  <c r="N131" i="8"/>
  <c r="N119" i="8"/>
  <c r="N107" i="8"/>
  <c r="N95" i="8"/>
  <c r="N83" i="8"/>
  <c r="N71" i="8"/>
  <c r="N129" i="8"/>
  <c r="N117" i="8"/>
  <c r="N105" i="8"/>
  <c r="N93" i="8"/>
  <c r="N81" i="8"/>
  <c r="N69" i="8"/>
  <c r="N57" i="8"/>
  <c r="N45" i="8"/>
  <c r="N33" i="8"/>
  <c r="N21" i="8"/>
  <c r="N128" i="8"/>
  <c r="N104" i="8"/>
</calcChain>
</file>

<file path=xl/sharedStrings.xml><?xml version="1.0" encoding="utf-8"?>
<sst xmlns="http://schemas.openxmlformats.org/spreadsheetml/2006/main" count="674" uniqueCount="447">
  <si>
    <t xml:space="preserve">PROTOCOLO  LIMPIEZA </t>
  </si>
  <si>
    <t>Cabina Interna</t>
  </si>
  <si>
    <t>Paneles, Frisos y Piso</t>
  </si>
  <si>
    <t>Integridad de los paneles, Frisos y piso</t>
  </si>
  <si>
    <t>Espejo y Barandilla de Protección</t>
  </si>
  <si>
    <t>Compruebe la integridad de el guarda corpo</t>
  </si>
  <si>
    <t>Subtecho y Ventilador</t>
  </si>
  <si>
    <t>Integridad del sub-techo</t>
  </si>
  <si>
    <t>Limpieza del sub-techo</t>
  </si>
  <si>
    <t>Prueba el funcionamento del ventilador</t>
  </si>
  <si>
    <t>Verifique la limpieza del ventilador</t>
  </si>
  <si>
    <t>Piso</t>
  </si>
  <si>
    <t>Panel luminoso</t>
  </si>
  <si>
    <t>Compruebe el sonido de identificación de carga y descarga</t>
  </si>
  <si>
    <t xml:space="preserve">Comprobar la iluminación del dispositivo de señalización </t>
  </si>
  <si>
    <t>Comprobar la integridad del dispositivo de señalización</t>
  </si>
  <si>
    <t>Maquinario y Comando</t>
  </si>
  <si>
    <t>Máquina de Tracción</t>
  </si>
  <si>
    <t>Piso de la Sala de Máquinas</t>
  </si>
  <si>
    <t>Gobernador de Velocidad</t>
  </si>
  <si>
    <t>Limpieza del gobernador de velocidad</t>
  </si>
  <si>
    <t>Compruebe la protección de la polea del gobernador</t>
  </si>
  <si>
    <t>Pesador de carga 2:1 y 4:1</t>
  </si>
  <si>
    <t>Comprobar la integridad y la fijación del pesador de carga</t>
  </si>
  <si>
    <t>Inspeccionar el sensor y el imán de pesaje</t>
  </si>
  <si>
    <t>Inspeccionar el estado del cableado del pesador de carga</t>
  </si>
  <si>
    <t>Cabina Superior</t>
  </si>
  <si>
    <t>Parte Superior de la Cabina</t>
  </si>
  <si>
    <t xml:space="preserve">Prueba de comando de sube y baja (mantenimiento) </t>
  </si>
  <si>
    <t>Prueba do botón stop</t>
  </si>
  <si>
    <t>Verificar los cables de maniobra, terminales y fijación</t>
  </si>
  <si>
    <t>Revise e inspeccione la integridad y fijación de la placa de suspensión de cabina</t>
  </si>
  <si>
    <t>Revise e inspeccione la integridad y fijación de la placa de suspensión del contra-peso</t>
  </si>
  <si>
    <t>Estructura de la Cabina</t>
  </si>
  <si>
    <t>Comprobar la integridad de los artículos superiores de la cabina</t>
  </si>
  <si>
    <t>Caja de Carrera</t>
  </si>
  <si>
    <t>Guías de Cabina y Contrapeso</t>
  </si>
  <si>
    <t>Verifique la lubrificación - rieles (CABINA Y CONTRAPESO)</t>
  </si>
  <si>
    <t>Soportes de Cabina y Contrapeso</t>
  </si>
  <si>
    <t>Inspeccione la limpieza de los braquetes</t>
  </si>
  <si>
    <t>Puertas de Piso</t>
  </si>
  <si>
    <t>Inspeccione la limpieza de las puertas de pasillo</t>
  </si>
  <si>
    <t>Soportes de Apoyo del Acoplamiento en el Piso</t>
  </si>
  <si>
    <t>Inspeccionar el ajuste entre el rodillo de la rótula y el soporte de apoyo del acoplamiento en el piso</t>
  </si>
  <si>
    <t>Foso</t>
  </si>
  <si>
    <t>Limpieza de piso del foso</t>
  </si>
  <si>
    <t>Comprobar Fugas en el Acoplamiento Hidráulico</t>
  </si>
  <si>
    <t>Nivel de Aceite del Acoplamiento Hidráulico</t>
  </si>
  <si>
    <t>Eje del Cilindro del Acoplamiento Hidráulico</t>
  </si>
  <si>
    <t>Activación del Acoplamiento Hidráulico</t>
  </si>
  <si>
    <t>Fijación del Eje del Acoplamiento Hidráulico</t>
  </si>
  <si>
    <t>Fijación de la Viga del Acoplamiento Hidráulico</t>
  </si>
  <si>
    <t>Rodamientos del Acoplamiento Hidráulico</t>
  </si>
  <si>
    <t xml:space="preserve">PROTOCOLO  SEGURIDAD </t>
  </si>
  <si>
    <t>Unidad Hidráulica</t>
  </si>
  <si>
    <t>Intercambiador de Calor</t>
  </si>
  <si>
    <t>Pesador de carga</t>
  </si>
  <si>
    <t>Balaustrada</t>
  </si>
  <si>
    <t>Verifique la existencia del guarda - corpo / CTI399</t>
  </si>
  <si>
    <t>Correderas de la Parte Superior de la Cabina</t>
  </si>
  <si>
    <t>Compruebe la integridad e lubrificación de las corredizas superiores de cabina</t>
  </si>
  <si>
    <t>Placa de Suspensión de la Parte Superior de la Cabina y Contrapeso</t>
  </si>
  <si>
    <t>Última Altura - Medida HA, HB y HC</t>
  </si>
  <si>
    <t>Mida la medida HA  y anotar
Mida la medida HB  y anotar
Mida la medida HC y anotar</t>
  </si>
  <si>
    <t>Polea de Desvío, Protector de Polea y Antisalto</t>
  </si>
  <si>
    <t>Verifique la fijación de la protección de la polea de desvio de la cabina</t>
  </si>
  <si>
    <t>Verifique la lubrificación de la polea de desvio de cabina</t>
  </si>
  <si>
    <t>Comprueba la existencia de la protección de la polea de desvio cabina</t>
  </si>
  <si>
    <t>Comprueba la protección da salida de cables de polea de desvio de cabina</t>
  </si>
  <si>
    <t>Verifique la fijación de la protección de la polea de desvio del contrapeso</t>
  </si>
  <si>
    <t>Comprueba la existencia de la protección de la polea de desvio del contra peso</t>
  </si>
  <si>
    <t>Verifique la lubrificación de la polea de desvio del contrapeso</t>
  </si>
  <si>
    <t>Comprueba la protección de salida de cables de polea de desvio del contra peso</t>
  </si>
  <si>
    <t>Dispositivo de Seguridad Superior</t>
  </si>
  <si>
    <t>Inspeccionar el dispositivo de seguridad superior de la cabina</t>
  </si>
  <si>
    <t>Compruebe que el sistema de activación está libre</t>
  </si>
  <si>
    <t>Escalera de Acceso al Foso</t>
  </si>
  <si>
    <t>Comprobación de la existencia de fijación de escalera de acceso al foso</t>
  </si>
  <si>
    <t>Botón Stop del Foso</t>
  </si>
  <si>
    <t>Rozaderas Inferiores</t>
  </si>
  <si>
    <t>Verifque e inspecione la fijación de las corredizas</t>
  </si>
  <si>
    <t>Cornisa de la Cabina (Trampilla de la Pisadera)</t>
  </si>
  <si>
    <t xml:space="preserve">Compruebe e inspeccione el faldon de seguridad su fijación, limpieza y robustez de su suspensión </t>
  </si>
  <si>
    <t>Compruebe e inspeccione el faldon de seguridad la medida debe ser igual o superior a 750 mm</t>
  </si>
  <si>
    <t>Puesta a Tierra del Foso</t>
  </si>
  <si>
    <t>Compruebe la puesta a tierra del foso</t>
  </si>
  <si>
    <t>Sistema de Amortiguación</t>
  </si>
  <si>
    <t>Verificar e inspeccionar el contacto eléctrico del  pistón hidráulico de la cabina y contrapeso (actuación)</t>
  </si>
  <si>
    <t>Verificar e inspeccionar LFA - límite de carrera del pistón hidráulico y muelle de la cabina y contrapeso (mover, medir y actuación)</t>
  </si>
  <si>
    <t>Dispositivo de Seguridad</t>
  </si>
  <si>
    <t>Limpieza de el dispositivo de seguridad</t>
  </si>
  <si>
    <t>Ajuste de el dispositivo de seguridad</t>
  </si>
  <si>
    <t>Contacto GRS del Dispositivo de Seguridad</t>
  </si>
  <si>
    <t>Compruebe el funcionamiento de lo contacto GRS</t>
  </si>
  <si>
    <t>Cable y Cadena de Compensación</t>
  </si>
  <si>
    <t>Comprobar la posición del seno de cadena de compensación. No debe golpear el Piso;</t>
  </si>
  <si>
    <t>Comprobar las guías de la cadena de compensación;</t>
  </si>
  <si>
    <t>Compruebe la integridad de la cadena de compensación y de las guías de la cadena de compensación;</t>
  </si>
  <si>
    <t>Comprobar que la cadena está fijada al soporte y que los tornillos allen están apretados</t>
  </si>
  <si>
    <t>Comprobar la fijación de la cadena al contrapeso</t>
  </si>
  <si>
    <t>Cuando el ascensor está equipado con un cable de compensación, se debe inspeccionar el estado del cable de compensación y comprobar la tensión del cable.</t>
  </si>
  <si>
    <t>Polea de Compensación</t>
  </si>
  <si>
    <t>Compruebe la fijación de la polea compensación</t>
  </si>
  <si>
    <t>Verifique la limpieza de la polea de compensación</t>
  </si>
  <si>
    <t xml:space="preserve">Contacto Eléctrico de la Polea de Compensación </t>
  </si>
  <si>
    <t>Verificar e inspeccionar el contacto eléctrico de la polea de compensación</t>
  </si>
  <si>
    <t>Contacto Eléctrico de la Polea Tensora</t>
  </si>
  <si>
    <t>Active manualmente el contacto eléctrico y compruebe que funciona;</t>
  </si>
  <si>
    <t>Polea Tensora</t>
  </si>
  <si>
    <t>Comprobar la integridad de la polea tensora;</t>
  </si>
  <si>
    <t>Inspeccione la fijación del conjunto;</t>
  </si>
  <si>
    <t>Comprobar la altura a la que se encuentra el peso de la polea tensora en relación al primer punto de impacto, que puede ser el suelo;</t>
  </si>
  <si>
    <t>Comprobar con una cinta métrica que la altura mínima según el proyecto ejecutivo es de 150mm;</t>
  </si>
  <si>
    <t>Medición del Deslizamiento de la Cabina (LCAB)</t>
  </si>
  <si>
    <t>LCAB - Medida de deslizamiento de la cabina (anotar)</t>
  </si>
  <si>
    <t>Medir la Punta del Cable (LCP)</t>
  </si>
  <si>
    <t>LCP - Medida de la distancia del amortiguador hasta la placa de contrapeso</t>
  </si>
  <si>
    <t xml:space="preserve">PROTOCOLO  PUERTA </t>
  </si>
  <si>
    <t>Puerta de Piso</t>
  </si>
  <si>
    <t>Nivelación de Piso</t>
  </si>
  <si>
    <t xml:space="preserve">Verificar el nivelamiento </t>
  </si>
  <si>
    <t>Pisaderas y Rozaderas de Puerta</t>
  </si>
  <si>
    <t>Inspeccione las Pizaderas y Corredizas de Puerta</t>
  </si>
  <si>
    <t>Freno del Operador de Puerta</t>
  </si>
  <si>
    <t>Espadín Articulado del Operador de Puerta</t>
  </si>
  <si>
    <t>Mida la abertura de la rampa articulada</t>
  </si>
  <si>
    <t>Inspeccione la integridad de la rampa articulada</t>
  </si>
  <si>
    <t>Limpieza del operador de puerta de cabina</t>
  </si>
  <si>
    <t>Cable y Correa del Operador de Puerta</t>
  </si>
  <si>
    <t>Inspeccione el Cable de acero y Correa del transportador de la puerta de cabina</t>
  </si>
  <si>
    <t>Rodillos del Operador de Puerta</t>
  </si>
  <si>
    <t>Inspecione los rodillos de puerta</t>
  </si>
  <si>
    <t>Inspeccione las corredizas de Cabina</t>
  </si>
  <si>
    <t>Holguras de las Hojas de la Puertas de Cabina</t>
  </si>
  <si>
    <t>Inspecione el ajuste de las hojas de puerta de cabina</t>
  </si>
  <si>
    <t>Operador de Puerta</t>
  </si>
  <si>
    <t>Verificar la limpieza del operador;</t>
  </si>
  <si>
    <t>Inspeccionar la limpieza del operador de la puerta, si está sucio limpiarlo</t>
  </si>
  <si>
    <t>Inspecionar a limpeza do operador de portas, se estiver sujo limpar</t>
  </si>
  <si>
    <t>Contacto Eléctrico de la Puerta de la Cabina</t>
  </si>
  <si>
    <t>Prube el funcionamiento y ajuste del Swtich GS de puerta de Cabina</t>
  </si>
  <si>
    <t>Contacto Eléctrico de las Puertas de Piso</t>
  </si>
  <si>
    <t>Inspeccione la existencia y funcionamiento del contacto electrico de las puertas</t>
  </si>
  <si>
    <t>Puesta a Tierra de las Puertas de Piso</t>
  </si>
  <si>
    <t>Compruebe la puesta a tierra correcta de las puertas de pisos</t>
  </si>
  <si>
    <t>Holgura de las Puertas de Piso</t>
  </si>
  <si>
    <t>Verificar y ajustar las holguras de hojas puertas</t>
  </si>
  <si>
    <t>Cable Portador de las Puertas de Piso</t>
  </si>
  <si>
    <t>Verificar la integridad de los cables transportadores (si oxidados / deshilachados)</t>
  </si>
  <si>
    <t>Rodillos y Rozaderas de Puertas de Piso</t>
  </si>
  <si>
    <t>Comprobar las rozaderas de las puertas y los desgastes de los náilones, así como su fijación y correcto funcionamiento</t>
  </si>
  <si>
    <t>Inspeccionar si las rozaderas inferiores de las puertas de piso no estén dañadas</t>
  </si>
  <si>
    <t>En los modelos con puerta Wittur, comprobar en todas las puertas la existencia y posición correcta del bloqueo metálico</t>
  </si>
  <si>
    <t>Válvula de Caída</t>
  </si>
  <si>
    <t>Conjunto Guía de Cilindros</t>
  </si>
  <si>
    <t>Embolo Hidráulico</t>
  </si>
  <si>
    <t>Manguera Hidráulica</t>
  </si>
  <si>
    <t xml:space="preserve">PROTOCOLO  COMANDO </t>
  </si>
  <si>
    <t>Panel de Operación</t>
  </si>
  <si>
    <t>Integridad del Panel de Operación</t>
  </si>
  <si>
    <t>Botones y Indicadores del Panel de Operación</t>
  </si>
  <si>
    <t>Integridad de los botones</t>
  </si>
  <si>
    <t>Preuba el funcionamiento de lá botonera de cabina</t>
  </si>
  <si>
    <t>Preuba el fijación de lá botonera de cabina</t>
  </si>
  <si>
    <t>Limpieza de la botonera de cabina</t>
  </si>
  <si>
    <t>Comando de Cabina y Banqueta</t>
  </si>
  <si>
    <t>Inspeccionar si el interruptor apaga el equipo cuando se activa;</t>
  </si>
  <si>
    <t>Alarma y Intercomunicador</t>
  </si>
  <si>
    <t xml:space="preserve">Comprueba la operación de la Alarma </t>
  </si>
  <si>
    <t>Comprueba la operación del intercomunicador  / MAX VOICE (si hay)</t>
  </si>
  <si>
    <t>Señal de Capacidad, Avisos y Licencia Municipal</t>
  </si>
  <si>
    <t>Integridad de las placas de capacidad y avisos</t>
  </si>
  <si>
    <t>Iluminación Principal y de Emergencia de la Cabina</t>
  </si>
  <si>
    <t xml:space="preserve">Comprueba la operación de la Iluminación principal y de emergencia </t>
  </si>
  <si>
    <t>Barrera de Seguridad</t>
  </si>
  <si>
    <t>Prueba la barrera electrónica de seguridad (puerta de cabina)</t>
  </si>
  <si>
    <t>Verifique la fijación de la barrera electrónica</t>
  </si>
  <si>
    <t>Puertas y Rozaderas de Cabina</t>
  </si>
  <si>
    <t>Verifique el cierre de la puerta</t>
  </si>
  <si>
    <t>Inspeccione las Corredizas de Puerta</t>
  </si>
  <si>
    <t>Inspeccionar lo aliñamiento de los indicadores</t>
  </si>
  <si>
    <t>Botoneras de Piso</t>
  </si>
  <si>
    <t xml:space="preserve">Verificar y inspeccionar la integridad de las botoneras   </t>
  </si>
  <si>
    <t>Testear el funcionamiento de las botoneras</t>
  </si>
  <si>
    <t>Indicadores de Piso</t>
  </si>
  <si>
    <t>Comprobar que el indicador de posición está fijo y funciona, y que las flechas de dirección funcionan.</t>
  </si>
  <si>
    <t>Inspeccionar lo aliñamiento de las botoneras y de los indicadores</t>
  </si>
  <si>
    <t>Señalización (Municipal, Estatal y Federal)</t>
  </si>
  <si>
    <t>Iluminación y Luz de Emergencia de la Sala de Máquinas</t>
  </si>
  <si>
    <t>Comprueba la operación de la Iluminación de emergencia de el cuarto de maquinas</t>
  </si>
  <si>
    <t>Puerta de Acceso y Extintor de Incendios de la Sala de Máquinas</t>
  </si>
  <si>
    <t xml:space="preserve">Verifique la vigencia del extintor </t>
  </si>
  <si>
    <t>Verifique la Identificación de la puerta de acceso al cuarto de máquinas</t>
  </si>
  <si>
    <t>Escalera y Barandilla de Protección del Piso Superior</t>
  </si>
  <si>
    <t>Existencia de escaleras de acceso al nivel superior</t>
  </si>
  <si>
    <t>Existencia de la barandilla de nivel superior</t>
  </si>
  <si>
    <t>Llave de Rescate del Panel de Control</t>
  </si>
  <si>
    <t>Prueba de la llave y botones de rescate</t>
  </si>
  <si>
    <t>Panel de Control</t>
  </si>
  <si>
    <t>Limpieza del Cuadro de Comando</t>
  </si>
  <si>
    <t>Fusibles, Disyuntores y IDR del Panel de Control</t>
  </si>
  <si>
    <t>Disyuntores (Verifique el amperaje de acuerdo con la tabla de disyuntores)</t>
  </si>
  <si>
    <t xml:space="preserve">Compruebe el funcionamiento del IDR </t>
  </si>
  <si>
    <t>Compruebe el cable de tierra</t>
  </si>
  <si>
    <t>Fusibles  (Verifique el amperaje de acuerdo con la tabla de fusibles)</t>
  </si>
  <si>
    <t>Módulo de Seguridad Omicron y Superdyne</t>
  </si>
  <si>
    <t>Funcionamiento del modulo de seguridad omicron / superdyne</t>
  </si>
  <si>
    <t>Prueba de Inversión y Falta de Fases</t>
  </si>
  <si>
    <t>Prueba el Disyuntor de Falta de Fase</t>
  </si>
  <si>
    <t>Relé Térmico del Panel de Control</t>
  </si>
  <si>
    <t>Prueba de rele termico</t>
  </si>
  <si>
    <t>Fusibles, Disyuntores, IDR y DPS del Cuadro Eléctrico</t>
  </si>
  <si>
    <t>Puesta a Tierra del Panel de Control y del Cuadro Eléctrico</t>
  </si>
  <si>
    <t>Puesta a Tierra del Autotransformador y del Juego de Resistencias</t>
  </si>
  <si>
    <t>Verifique el cable de tierra de el conjunto de Resistencias</t>
  </si>
  <si>
    <t>Verifique el cable de tierra de el autotransformador</t>
  </si>
  <si>
    <t>Prueba del Nobreak y el Rescate Automático</t>
  </si>
  <si>
    <t xml:space="preserve">Prueba de NOBREAK y Rescate automatico </t>
  </si>
  <si>
    <t>Límites de Parada y Final de Carrera de Subida</t>
  </si>
  <si>
    <t>Inspección y teste del límite superior (limite de parada)</t>
  </si>
  <si>
    <t>Inspeccione y pruebe el límite de ascenso FINAL con la desactivación de la cabina y compárelo con LCP</t>
  </si>
  <si>
    <t>Inspeccione y pruebe el límite de la dirección de descenso con la desactivación de la cabina</t>
  </si>
  <si>
    <t>Inspeccione y pruebe el límite de descenso FINAL con la cabina y compárelo con LCAB</t>
  </si>
  <si>
    <t>Límites de Parada y Final de Carrera de Bajada</t>
  </si>
  <si>
    <t>Inspección y teste del límite inferior (limite de parada)</t>
  </si>
  <si>
    <t>Bloqueo y Contacto Eléctrico de la Puerta de Inspección</t>
  </si>
  <si>
    <t>Prueba el cierra de la puerta de inspección</t>
  </si>
  <si>
    <t>Prueba el cierra de la puerta de escotilla</t>
  </si>
  <si>
    <t>Puesta a Tierra de la Parte Superior de la Cabina</t>
  </si>
  <si>
    <t>Comando de Subir y Bajar de la Parte Superior de la Cabina</t>
  </si>
  <si>
    <t>Botón Stop de la Parte Superior de la Cabina</t>
  </si>
  <si>
    <t xml:space="preserve">PROTOCOLO  MAQUINARIA </t>
  </si>
  <si>
    <t>Aislamiento y Puesta a Tierra de los Terminales del Motor</t>
  </si>
  <si>
    <t>Placa de Suspensión de la Sala de Máquinas</t>
  </si>
  <si>
    <t xml:space="preserve">Revise e inspeccione la integridad y fijación de la placa de suspensión </t>
  </si>
  <si>
    <t>Validez de la Grasa de Conjunto de Freno</t>
  </si>
  <si>
    <t>Embolo de Freno</t>
  </si>
  <si>
    <t>Brazos de las Zapatas, Forros y Juntas del Freno</t>
  </si>
  <si>
    <t>Resortes del Freno</t>
  </si>
  <si>
    <t>Contacto BK y CPF del Freno</t>
  </si>
  <si>
    <t>Compruebe el funcionamiento de los contactos de freno (BK y CPF)</t>
  </si>
  <si>
    <t>Prueba de Deslizamiento del Freno</t>
  </si>
  <si>
    <t xml:space="preserve">Prueba el deslizamiento de la cabina por parada de freno en la subida </t>
  </si>
  <si>
    <t>Palanca, Volante y Sistema de Apertura de los Frenos</t>
  </si>
  <si>
    <t>Protector de la Polea de Tracción</t>
  </si>
  <si>
    <t>Compruebe la protección de la polea</t>
  </si>
  <si>
    <t>Canales de la Polea de Tracción</t>
  </si>
  <si>
    <t>Verifique la integridad de los canales de la polea</t>
  </si>
  <si>
    <t>Cables de Tracción y Correas de Tracción</t>
  </si>
  <si>
    <t>Compruebe la integridad de las cintas</t>
  </si>
  <si>
    <t>Verifique el funcionamiento del sensor de las cintas</t>
  </si>
  <si>
    <t>Revise y inspeccione los cables de tracción limpieza y condición.</t>
  </si>
  <si>
    <t>O-Rings, Juntas y Pantallas de la Máquina de Tracción</t>
  </si>
  <si>
    <t>Validez del Aceite de la Máquina de Tracción</t>
  </si>
  <si>
    <t>Corona de la Máquina de Tracción</t>
  </si>
  <si>
    <t>Rodamientos de la Máquina de Tracción</t>
  </si>
  <si>
    <t>Goma de Acoplamiento del Reductor</t>
  </si>
  <si>
    <t>Ventilación Forzada de la Máquina de Tracción</t>
  </si>
  <si>
    <t>Conmutador y Escobillas del Motor</t>
  </si>
  <si>
    <t>Ejes de la Máquina de Tracción</t>
  </si>
  <si>
    <t>Cuerda de Maniobra</t>
  </si>
  <si>
    <t>Comprobar la integridad de la cuerda de maniobra</t>
  </si>
  <si>
    <t>Inspeccionar si la cuerda de maniobra está bien fijada a la cabina</t>
  </si>
  <si>
    <t>Integridad, Equilibrio y Contacto Eléctrico de las Correas de Tracción</t>
  </si>
  <si>
    <t>Verifique la integridad de los cables de acero</t>
  </si>
  <si>
    <t>Verifique el diametro de los cables de acero</t>
  </si>
  <si>
    <t>Verifique el posicionamiento de las marcas de los cables</t>
  </si>
  <si>
    <t>Diámetro, Integridad y Tensión de los Cables de Acero</t>
  </si>
  <si>
    <t>Tirantes de los Cables de Acero</t>
  </si>
  <si>
    <t>Comprobar la integridad y la posición de instalación de los tirantes</t>
  </si>
  <si>
    <t>Colocación de las Abrazaderas de Acero</t>
  </si>
  <si>
    <t>Verifique el posicionamiento de los clips (25mm entre ellos)</t>
  </si>
  <si>
    <t>Iluminación de la Caja de Carrera</t>
  </si>
  <si>
    <t>Prueba la iluminación de el recorrido</t>
  </si>
  <si>
    <t>Contrapeso, Varillas y Fijaciones</t>
  </si>
  <si>
    <t>Inspeccionar el correcto bloqueo de los pesos/piedras, mostrando la tuerca, contratuerca y arandela y la fijación lateral de los soportes tipo L</t>
  </si>
  <si>
    <t>Para los cargueros, verifique los pares de torsión de los tornillos con una llave dinamométrica, de acuerdo con las tablas de torsión de los tornillos</t>
  </si>
  <si>
    <t xml:space="preserve">PROTOCOLO  SEGURIDAD II </t>
  </si>
  <si>
    <t>Protección de la Polea del Limitador de Velocidad</t>
  </si>
  <si>
    <t>Compruebe la protección de la polea del limitador</t>
  </si>
  <si>
    <t>Canal de Polea del Limitador de Velocidad</t>
  </si>
  <si>
    <t>Sellos de Seguridad del Limitador de Velocidad</t>
  </si>
  <si>
    <t>Inspecione el sello de seguridad del limitador de velocidad</t>
  </si>
  <si>
    <t>Cable de Acero del Limitador de Velocidad</t>
  </si>
  <si>
    <t>Comprueba la integridade del cable de acero de la polea del limitador</t>
  </si>
  <si>
    <t>Prueba del Gobernador de Velocidad</t>
  </si>
  <si>
    <t>Comprueba el accionamiento mecanico del limitador de velocidad (OGT)</t>
  </si>
  <si>
    <t>Prueba de activación dinámica del limitador de velocidad con acuñamiento de la cabina sin carga</t>
  </si>
  <si>
    <t>Contacto Eléctrico del Limitador de Velocidad</t>
  </si>
  <si>
    <t>Compruebe si el ascensor es desconectado al activar el contacto eléctrico del limitador de velocidad</t>
  </si>
  <si>
    <t>Puesta a Tierra del Limitador de Velocidad</t>
  </si>
  <si>
    <t>Verifique el cable de tierra de el limitador de velocidad</t>
  </si>
  <si>
    <t>Prueba del Dispositivo de Seguridad</t>
  </si>
  <si>
    <t>Prueba y verificación de activación del aparato de seguridad de cabina y contrapeso</t>
  </si>
  <si>
    <t>Compruebe la ativación del contacto GRS em la cabina</t>
  </si>
  <si>
    <t>Mida la medida HA  y anotar</t>
  </si>
  <si>
    <t>Mida la medida HB  y anotar</t>
  </si>
  <si>
    <t>Mida la medida HC y anotar</t>
  </si>
  <si>
    <t>Prueba de el botón stop</t>
  </si>
  <si>
    <t>Limpieza de el botón stop</t>
  </si>
  <si>
    <t>Contacto Eléctrico de la Polea Tensora de la Cabina</t>
  </si>
  <si>
    <t>Limpieza</t>
  </si>
  <si>
    <t>Seguridad 1</t>
  </si>
  <si>
    <t>Puerta</t>
  </si>
  <si>
    <t>Comando</t>
  </si>
  <si>
    <t>Maquinaria</t>
  </si>
  <si>
    <t>Seguridad 2</t>
  </si>
  <si>
    <t>soma</t>
  </si>
  <si>
    <t>Painel de Operação</t>
  </si>
  <si>
    <t>Botões, Indicadores e Display do Painel de Operação</t>
  </si>
  <si>
    <t>Comando Cabineiro e Banqueta</t>
  </si>
  <si>
    <t>Alarme e Intercomunicador</t>
  </si>
  <si>
    <t>Placa Capacidade, Avisos, Licença Municipal e Placa ABNT</t>
  </si>
  <si>
    <t>Iluminação Principal e de Emergência da Cabina</t>
  </si>
  <si>
    <t>Régua de Segurança</t>
  </si>
  <si>
    <t>Portas e Corrediças de Cabina</t>
  </si>
  <si>
    <t>Painéis, Frisos e Piso</t>
  </si>
  <si>
    <t>Espelho e Guarda-Corpo</t>
  </si>
  <si>
    <t>Subteto e Ventilador</t>
  </si>
  <si>
    <t>Botoeiras de Pavimento</t>
  </si>
  <si>
    <t>Indicadores de Pavimento</t>
  </si>
  <si>
    <t>Placas de Sinalização (Municipal, Estadual e Federal)</t>
  </si>
  <si>
    <t>Portas de Pavimento</t>
  </si>
  <si>
    <t>Nivelamento de Pavimento</t>
  </si>
  <si>
    <t>Sinaleira</t>
  </si>
  <si>
    <t>Soleiras e Corrediças de Porta</t>
  </si>
  <si>
    <t>Iluminação e Luz de Emergência da Casa de Máquina</t>
  </si>
  <si>
    <t>Porta de Acesso e Extintor da Casa de Máquina</t>
  </si>
  <si>
    <t>Escada e Guarda-Corpo do Patamar Superior</t>
  </si>
  <si>
    <t>Isolamento e Aterramento dos Terminais do Motor</t>
  </si>
  <si>
    <t>Placa de Suspensão da Casa de Máquina</t>
  </si>
  <si>
    <t>Validade da Graxa do Conjunto de Freio</t>
  </si>
  <si>
    <t>Êmbolo do Freio</t>
  </si>
  <si>
    <t>Braços das Sapatas, Lonas e Articulações do Freio</t>
  </si>
  <si>
    <t>Molas do Freio</t>
  </si>
  <si>
    <t>Contato BK e CPF do Freio</t>
  </si>
  <si>
    <t>Teste de Deslize do Freio</t>
  </si>
  <si>
    <t>Alavanca, Volante e Sistema de Abertura do Freio</t>
  </si>
  <si>
    <t>Protetor da Polia de Tração</t>
  </si>
  <si>
    <t>Canais da Polia de Tração</t>
  </si>
  <si>
    <t>Cabos de Tração e Cinta de Tração</t>
  </si>
  <si>
    <t>Retentores, Juntas e Visores da Máquina de Tração</t>
  </si>
  <si>
    <t>Validade do Óleo da Máquina de Tração</t>
  </si>
  <si>
    <t>Coroa da Máquina de Tração</t>
  </si>
  <si>
    <t>Rolamentos da Máquina de Tração</t>
  </si>
  <si>
    <t>Borracha de Acoplamento do Redutor</t>
  </si>
  <si>
    <t>Ventilação Forçada da Máquina de Tração</t>
  </si>
  <si>
    <t>Comutador e Escovas do Motor</t>
  </si>
  <si>
    <t>Eixos da Máquina de Tração</t>
  </si>
  <si>
    <t>Máquina de Tração</t>
  </si>
  <si>
    <t>Piso da Casa de Máquina</t>
  </si>
  <si>
    <t>Limitador de Velocidade</t>
  </si>
  <si>
    <t>Proteção da Polia do Limitador de Velocidade</t>
  </si>
  <si>
    <t>Canal da Polia do Limitador de Velocidade</t>
  </si>
  <si>
    <t>Lacres de Segurança do Limitador de Velocidade</t>
  </si>
  <si>
    <t>Cabo de Aço do Limitador de Velocidade</t>
  </si>
  <si>
    <t>Teste do Limitador de Velocidade</t>
  </si>
  <si>
    <t>Contato Elétrico do Limitador de Velocidade</t>
  </si>
  <si>
    <t>Aterramento do Limitador de Velocidade</t>
  </si>
  <si>
    <t>Chave de Resgate do Quadro de Comando</t>
  </si>
  <si>
    <t>Quadro de Comando</t>
  </si>
  <si>
    <t>Fusíveis, Disjuntores e IDR do Quadro de Comando</t>
  </si>
  <si>
    <t>Módulo de Segurança Ômicron e Superdyne</t>
  </si>
  <si>
    <t>Teste de Inversão e Falta de Fase</t>
  </si>
  <si>
    <t>Relé Térmico do Quadro de Comando</t>
  </si>
  <si>
    <t>Fusíveis, Disjuntores, IDR e DPS do Quadro de Força</t>
  </si>
  <si>
    <t>Aterramento do Quadro de Comando e de Força</t>
  </si>
  <si>
    <t>Aterramento do Autotrafo e do Conjunto de Resistores</t>
  </si>
  <si>
    <t>Teste do Nobreak e do Resgate Automático</t>
  </si>
  <si>
    <t>Limites de Parada e Fim de Curso de Subida</t>
  </si>
  <si>
    <t>Limites de Parada e Fim de Curso de Descida</t>
  </si>
  <si>
    <t>Travamento e Contato Elétrico da Porta de Inspeção</t>
  </si>
  <si>
    <t>Unidade Hidráulica</t>
  </si>
  <si>
    <t>Trocador de Calor</t>
  </si>
  <si>
    <t>Pesador de Cargas</t>
  </si>
  <si>
    <t>Teste do Aparelho de Segurança</t>
  </si>
  <si>
    <t>Freio do Operador de Porta</t>
  </si>
  <si>
    <t>Rampa Articulada do Operador de Porta</t>
  </si>
  <si>
    <t>Cabo e Correia do Operador de Porta</t>
  </si>
  <si>
    <t>Roletes do Operador de Porta</t>
  </si>
  <si>
    <t>Folgas das Folhas da Porta de Cabina</t>
  </si>
  <si>
    <t>Operador de Porta</t>
  </si>
  <si>
    <t>Contato Elétrico Porta de Cabina</t>
  </si>
  <si>
    <t>Aterramentos do Topo da Cabina</t>
  </si>
  <si>
    <t>Comando Sobe e Desce do Topo da Cabina</t>
  </si>
  <si>
    <t>Botão Stop do Topo da Cabina</t>
  </si>
  <si>
    <t>Corrediças do Topo da Cabina</t>
  </si>
  <si>
    <t>Topo da Cabina</t>
  </si>
  <si>
    <t>Placa de Suspensão do Topo Cabina e Contrapeso</t>
  </si>
  <si>
    <t>Última Altura - Medida HA, HB e HC</t>
  </si>
  <si>
    <t>Polia de Desvio, Protetor de Polia e Sistema Anti-pulo</t>
  </si>
  <si>
    <t>Estrutura da Cabina</t>
  </si>
  <si>
    <t>Aparelho de Segurança Superior</t>
  </si>
  <si>
    <t>Guias de Cabina e Contrapeso</t>
  </si>
  <si>
    <t>Braquetes de Cabina e Contrapeso</t>
  </si>
  <si>
    <t>Contato Elétrico das Portas de Pavimento</t>
  </si>
  <si>
    <t>Aterramento das Portas de Pavimento</t>
  </si>
  <si>
    <t>Folga das Portas de Pavimento</t>
  </si>
  <si>
    <t>Cabo Transportador das Portas de Pavimento</t>
  </si>
  <si>
    <t>Roletes e Corrediças das Portas de Pavimento</t>
  </si>
  <si>
    <t>Cabo de Manobra</t>
  </si>
  <si>
    <t>Integridade, Balanceamento e Contato Elétrico das Cintas de Tração</t>
  </si>
  <si>
    <t>Diâmetro, Integridade e Tensionamento dos Cabos de Aço</t>
  </si>
  <si>
    <t>Tirantes dos Cabos de Aço</t>
  </si>
  <si>
    <t>Posicionamento dos Clips do Cabo de Aço</t>
  </si>
  <si>
    <t>Iluminação da Caixa de Corrida</t>
  </si>
  <si>
    <t>Contrapeso, Varões e Fixações</t>
  </si>
  <si>
    <t>Suportes de Apoio do Atracador no Pavimento</t>
  </si>
  <si>
    <t>Limpeza do Poço</t>
  </si>
  <si>
    <t>Escada de Acesso ao Poço</t>
  </si>
  <si>
    <t>Botão Stop do Poço</t>
  </si>
  <si>
    <t>Corrediças Inferiores</t>
  </si>
  <si>
    <t>Cornija da Cabina (Aba da Soleira)</t>
  </si>
  <si>
    <t>Aterramentos do Poço</t>
  </si>
  <si>
    <t>Sistema de Amortecimento</t>
  </si>
  <si>
    <t>Aparelho de Segurança</t>
  </si>
  <si>
    <t>Contato GRS do Aparelho de Segurança</t>
  </si>
  <si>
    <t>Cabo e Corrente de Compensação</t>
  </si>
  <si>
    <t>Polia de Compensação</t>
  </si>
  <si>
    <t>Contato Elétrico da Polia de Compensação</t>
  </si>
  <si>
    <t>Contato Elétrico da Polia Tensora</t>
  </si>
  <si>
    <t>Polia Tensora</t>
  </si>
  <si>
    <t>Medir Deslize de Cabina (LCAB)</t>
  </si>
  <si>
    <t>Medir Espicho do Cabo (LCP)</t>
  </si>
  <si>
    <t>Verificar Vazamentos no Atracador Hidráulico</t>
  </si>
  <si>
    <t>Nível do Óleo do Atracador Hidráulico</t>
  </si>
  <si>
    <t>Eixo do Cilindro do Atracador Hidráulico</t>
  </si>
  <si>
    <t>Acionamento do Atracador Hidráulico</t>
  </si>
  <si>
    <t>Fixação do Eixo do Atracador Hidráulico</t>
  </si>
  <si>
    <t>Fixação da Viga do Atracador Hidráulico</t>
  </si>
  <si>
    <t>Rolamentos do Atracador Hidráulico</t>
  </si>
  <si>
    <t>Válvula de Queda</t>
  </si>
  <si>
    <t>Conjunto Arcadinha</t>
  </si>
  <si>
    <t>Pistão Hidráulico</t>
  </si>
  <si>
    <t>Mangueira Hidráulica</t>
  </si>
  <si>
    <t>Comentario</t>
  </si>
  <si>
    <t>Rodillos del Operador de Puerta--Revisar roditos</t>
  </si>
  <si>
    <t>Pruebe el funcionamiento del Swtich</t>
  </si>
  <si>
    <t xml:space="preserve">Faja de Comando </t>
  </si>
  <si>
    <t>Rodos de Cabina y contrapeso</t>
  </si>
  <si>
    <t>Compruebe la fijación del guarda corpo</t>
  </si>
  <si>
    <t>Revise e inspeccione la limpieza de la máquina</t>
  </si>
  <si>
    <t>Verifique la integridad de los cables da la polea de compensación</t>
  </si>
  <si>
    <t>Verificar holguras de ajuste de las hojas del Puertas  AC y AL</t>
  </si>
  <si>
    <t>Pruebe el funcionamento de la iluminación principal del cuarto de maquinas</t>
  </si>
  <si>
    <t>Verifique la lubricación de la polea de desvio del contrapeso</t>
  </si>
  <si>
    <t>Verifique la lubricación de la polea de desvio de cabina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</si>
</sst>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3466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TKE Type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2" fillId="0" borderId="0" xfId="0" applyFont="1"/>
    <xf numFmtId="0" fontId="4" fillId="2" borderId="1" xfId="2" applyFont="1" applyFill="1" applyBorder="1" applyAlignment="1">
      <alignment horizontal="left" vertical="center"/>
    </xf>
    <xf numFmtId="0" fontId="5" fillId="3" borderId="1" xfId="2" applyFont="1" applyFill="1" applyBorder="1" applyAlignment="1">
      <alignment horizontal="left" vertical="center"/>
    </xf>
    <xf numFmtId="0" fontId="6" fillId="0" borderId="0" xfId="0" applyFont="1"/>
    <xf numFmtId="0" fontId="3" fillId="4" borderId="2" xfId="2" applyFont="1" applyFill="1" applyBorder="1" applyAlignment="1">
      <alignment horizontal="center" vertical="center"/>
    </xf>
    <xf numFmtId="0" fontId="7" fillId="5" borderId="1" xfId="0" applyFont="1" applyFill="1" applyBorder="1"/>
    <xf numFmtId="0" fontId="5" fillId="3" borderId="1" xfId="2" applyFont="1" applyFill="1" applyBorder="1" applyAlignment="1">
      <alignment horizontal="left" vertical="center" wrapText="1"/>
    </xf>
    <xf numFmtId="0" fontId="8" fillId="0" borderId="0" xfId="0" applyFont="1"/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9" fillId="6" borderId="1" xfId="2" applyFont="1" applyFill="1" applyBorder="1" applyAlignment="1">
      <alignment horizontal="left" vertical="center"/>
    </xf>
  </cellXfs>
  <cellStyles count="3">
    <cellStyle name="Normal" xfId="0" builtinId="0"/>
    <cellStyle name="Normal 11" xfId="2" xr:uid="{02C78F61-5B90-4B23-A883-4996550BDB08}"/>
    <cellStyle name="Normal 2" xfId="1" xr:uid="{13004F43-C1E9-4CE3-9659-896E8BC7EFE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1708-23F4-48DF-8EF1-0619B4357318}">
  <dimension ref="A1:B48"/>
  <sheetViews>
    <sheetView showGridLines="0" tabSelected="1" zoomScale="98" workbookViewId="0">
      <selection activeCell="A4" sqref="A4"/>
    </sheetView>
  </sheetViews>
  <sheetFormatPr baseColWidth="10" defaultColWidth="8.7109375" defaultRowHeight="12.75"/>
  <cols>
    <col min="1" max="1" width="89.28515625" style="4" customWidth="1"/>
    <col min="2" max="2" width="10" style="4" bestFit="1" customWidth="1"/>
    <col min="3" max="16384" width="8.7109375" style="4"/>
  </cols>
  <sheetData>
    <row r="1" spans="1:2">
      <c r="A1" s="5" t="s">
        <v>0</v>
      </c>
      <c r="B1" s="4" t="s">
        <v>435</v>
      </c>
    </row>
    <row r="2" spans="1:2">
      <c r="A2" s="6" t="s">
        <v>1</v>
      </c>
    </row>
    <row r="3" spans="1:2">
      <c r="A3" s="2" t="s">
        <v>2</v>
      </c>
    </row>
    <row r="4" spans="1:2">
      <c r="A4" s="3" t="s">
        <v>3</v>
      </c>
    </row>
    <row r="5" spans="1:2">
      <c r="A5" s="2" t="s">
        <v>4</v>
      </c>
    </row>
    <row r="6" spans="1:2">
      <c r="A6" s="3" t="s">
        <v>440</v>
      </c>
    </row>
    <row r="7" spans="1:2">
      <c r="A7" s="3" t="s">
        <v>5</v>
      </c>
    </row>
    <row r="8" spans="1:2">
      <c r="A8" s="2" t="s">
        <v>6</v>
      </c>
    </row>
    <row r="9" spans="1:2">
      <c r="A9" s="3" t="s">
        <v>7</v>
      </c>
    </row>
    <row r="10" spans="1:2">
      <c r="A10" s="3" t="s">
        <v>8</v>
      </c>
    </row>
    <row r="11" spans="1:2">
      <c r="A11" s="3" t="s">
        <v>9</v>
      </c>
    </row>
    <row r="12" spans="1:2">
      <c r="A12" s="3" t="s">
        <v>10</v>
      </c>
    </row>
    <row r="13" spans="1:2">
      <c r="A13" s="6" t="s">
        <v>11</v>
      </c>
    </row>
    <row r="14" spans="1:2">
      <c r="A14" s="2" t="s">
        <v>12</v>
      </c>
    </row>
    <row r="15" spans="1:2">
      <c r="A15" s="3" t="s">
        <v>13</v>
      </c>
    </row>
    <row r="16" spans="1:2">
      <c r="A16" s="3" t="s">
        <v>14</v>
      </c>
    </row>
    <row r="17" spans="1:1">
      <c r="A17" s="3" t="s">
        <v>15</v>
      </c>
    </row>
    <row r="18" spans="1:1">
      <c r="A18" s="6" t="s">
        <v>16</v>
      </c>
    </row>
    <row r="19" spans="1:1">
      <c r="A19" s="2" t="s">
        <v>17</v>
      </c>
    </row>
    <row r="20" spans="1:1">
      <c r="A20" s="3" t="s">
        <v>441</v>
      </c>
    </row>
    <row r="21" spans="1:1">
      <c r="A21" s="2" t="s">
        <v>19</v>
      </c>
    </row>
    <row r="22" spans="1:1">
      <c r="A22" s="3" t="s">
        <v>20</v>
      </c>
    </row>
    <row r="23" spans="1:1">
      <c r="A23" s="3" t="s">
        <v>21</v>
      </c>
    </row>
    <row r="24" spans="1:1">
      <c r="A24" s="2" t="s">
        <v>22</v>
      </c>
    </row>
    <row r="25" spans="1:1">
      <c r="A25" s="3" t="s">
        <v>23</v>
      </c>
    </row>
    <row r="26" spans="1:1">
      <c r="A26" s="3" t="s">
        <v>24</v>
      </c>
    </row>
    <row r="27" spans="1:1">
      <c r="A27" s="3" t="s">
        <v>25</v>
      </c>
    </row>
    <row r="28" spans="1:1">
      <c r="A28" s="6" t="s">
        <v>26</v>
      </c>
    </row>
    <row r="29" spans="1:1">
      <c r="A29" s="2" t="s">
        <v>27</v>
      </c>
    </row>
    <row r="30" spans="1:1">
      <c r="A30" s="3" t="s">
        <v>28</v>
      </c>
    </row>
    <row r="31" spans="1:1">
      <c r="A31" s="3" t="s">
        <v>29</v>
      </c>
    </row>
    <row r="32" spans="1:1">
      <c r="A32" s="3" t="s">
        <v>30</v>
      </c>
    </row>
    <row r="33" spans="1:1">
      <c r="A33" s="3" t="s">
        <v>31</v>
      </c>
    </row>
    <row r="34" spans="1:1">
      <c r="A34" s="3" t="s">
        <v>32</v>
      </c>
    </row>
    <row r="35" spans="1:1">
      <c r="A35" s="2" t="s">
        <v>33</v>
      </c>
    </row>
    <row r="36" spans="1:1">
      <c r="A36" s="3" t="s">
        <v>34</v>
      </c>
    </row>
    <row r="37" spans="1:1">
      <c r="A37" s="6" t="s">
        <v>35</v>
      </c>
    </row>
    <row r="38" spans="1:1">
      <c r="A38" s="2" t="s">
        <v>36</v>
      </c>
    </row>
    <row r="39" spans="1:1">
      <c r="A39" s="11" t="s">
        <v>37</v>
      </c>
    </row>
    <row r="40" spans="1:1">
      <c r="A40" s="2" t="s">
        <v>38</v>
      </c>
    </row>
    <row r="41" spans="1:1">
      <c r="A41" s="3" t="s">
        <v>39</v>
      </c>
    </row>
    <row r="42" spans="1:1">
      <c r="A42" s="2" t="s">
        <v>40</v>
      </c>
    </row>
    <row r="43" spans="1:1">
      <c r="A43" s="3" t="s">
        <v>41</v>
      </c>
    </row>
    <row r="44" spans="1:1">
      <c r="A44" s="2" t="s">
        <v>42</v>
      </c>
    </row>
    <row r="45" spans="1:1">
      <c r="A45" s="3" t="s">
        <v>43</v>
      </c>
    </row>
    <row r="46" spans="1:1">
      <c r="A46" s="6" t="s">
        <v>44</v>
      </c>
    </row>
    <row r="47" spans="1:1">
      <c r="A47" s="2" t="s">
        <v>44</v>
      </c>
    </row>
    <row r="48" spans="1:1">
      <c r="A48" s="3" t="s">
        <v>45</v>
      </c>
    </row>
  </sheetData>
  <autoFilter ref="A1:A48" xr:uid="{C0721708-23F4-48DF-8EF1-0619B4357318}"/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3DC8-B40F-4A00-968B-63943084038D}">
  <dimension ref="A1:A81"/>
  <sheetViews>
    <sheetView showGridLines="0" zoomScale="72" workbookViewId="0">
      <selection activeCell="A66" sqref="A19:A66"/>
    </sheetView>
  </sheetViews>
  <sheetFormatPr baseColWidth="10" defaultColWidth="8.7109375" defaultRowHeight="15"/>
  <cols>
    <col min="1" max="1" width="132" bestFit="1" customWidth="1"/>
  </cols>
  <sheetData>
    <row r="1" spans="1:1">
      <c r="A1" s="5" t="s">
        <v>53</v>
      </c>
    </row>
    <row r="2" spans="1:1">
      <c r="A2" s="6" t="s">
        <v>11</v>
      </c>
    </row>
    <row r="3" spans="1:1">
      <c r="A3" s="2" t="s">
        <v>12</v>
      </c>
    </row>
    <row r="4" spans="1:1">
      <c r="A4" s="3" t="s">
        <v>13</v>
      </c>
    </row>
    <row r="5" spans="1:1">
      <c r="A5" s="3" t="s">
        <v>14</v>
      </c>
    </row>
    <row r="6" spans="1:1">
      <c r="A6" s="3" t="s">
        <v>15</v>
      </c>
    </row>
    <row r="7" spans="1:1">
      <c r="A7" s="6" t="s">
        <v>16</v>
      </c>
    </row>
    <row r="8" spans="1:1">
      <c r="A8" s="2" t="s">
        <v>56</v>
      </c>
    </row>
    <row r="9" spans="1:1">
      <c r="A9" s="3" t="s">
        <v>23</v>
      </c>
    </row>
    <row r="10" spans="1:1">
      <c r="A10" s="3" t="s">
        <v>24</v>
      </c>
    </row>
    <row r="11" spans="1:1">
      <c r="A11" s="3" t="s">
        <v>25</v>
      </c>
    </row>
    <row r="12" spans="1:1">
      <c r="A12" s="6" t="s">
        <v>26</v>
      </c>
    </row>
    <row r="13" spans="1:1">
      <c r="A13" s="2" t="s">
        <v>57</v>
      </c>
    </row>
    <row r="14" spans="1:1">
      <c r="A14" s="3" t="s">
        <v>58</v>
      </c>
    </row>
    <row r="15" spans="1:1">
      <c r="A15" s="2" t="s">
        <v>59</v>
      </c>
    </row>
    <row r="16" spans="1:1">
      <c r="A16" s="3" t="s">
        <v>60</v>
      </c>
    </row>
    <row r="17" spans="1:1">
      <c r="A17" s="2" t="s">
        <v>61</v>
      </c>
    </row>
    <row r="18" spans="1:1">
      <c r="A18" s="3" t="s">
        <v>31</v>
      </c>
    </row>
    <row r="19" spans="1:1">
      <c r="A19" s="3" t="s">
        <v>32</v>
      </c>
    </row>
    <row r="20" spans="1:1">
      <c r="A20" s="2" t="s">
        <v>62</v>
      </c>
    </row>
    <row r="21" spans="1:1">
      <c r="A21" s="3" t="s">
        <v>63</v>
      </c>
    </row>
    <row r="22" spans="1:1">
      <c r="A22" s="2" t="s">
        <v>64</v>
      </c>
    </row>
    <row r="23" spans="1:1">
      <c r="A23" s="3" t="s">
        <v>65</v>
      </c>
    </row>
    <row r="24" spans="1:1">
      <c r="A24" s="3" t="s">
        <v>66</v>
      </c>
    </row>
    <row r="25" spans="1:1">
      <c r="A25" s="3" t="s">
        <v>67</v>
      </c>
    </row>
    <row r="26" spans="1:1">
      <c r="A26" s="3" t="s">
        <v>68</v>
      </c>
    </row>
    <row r="27" spans="1:1">
      <c r="A27" s="3" t="s">
        <v>69</v>
      </c>
    </row>
    <row r="28" spans="1:1">
      <c r="A28" s="3" t="s">
        <v>70</v>
      </c>
    </row>
    <row r="29" spans="1:1">
      <c r="A29" s="3" t="s">
        <v>71</v>
      </c>
    </row>
    <row r="30" spans="1:1">
      <c r="A30" s="3" t="s">
        <v>72</v>
      </c>
    </row>
    <row r="31" spans="1:1">
      <c r="A31" s="2" t="s">
        <v>33</v>
      </c>
    </row>
    <row r="32" spans="1:1">
      <c r="A32" s="3" t="s">
        <v>34</v>
      </c>
    </row>
    <row r="33" spans="1:1">
      <c r="A33" s="2" t="s">
        <v>73</v>
      </c>
    </row>
    <row r="34" spans="1:1">
      <c r="A34" s="3" t="s">
        <v>74</v>
      </c>
    </row>
    <row r="35" spans="1:1">
      <c r="A35" s="3" t="s">
        <v>75</v>
      </c>
    </row>
    <row r="36" spans="1:1">
      <c r="A36" s="6" t="s">
        <v>35</v>
      </c>
    </row>
    <row r="37" spans="1:1">
      <c r="A37" s="2" t="s">
        <v>42</v>
      </c>
    </row>
    <row r="38" spans="1:1">
      <c r="A38" s="3" t="s">
        <v>43</v>
      </c>
    </row>
    <row r="39" spans="1:1">
      <c r="A39" s="6" t="s">
        <v>44</v>
      </c>
    </row>
    <row r="40" spans="1:1">
      <c r="A40" s="2" t="s">
        <v>76</v>
      </c>
    </row>
    <row r="41" spans="1:1">
      <c r="A41" s="3" t="s">
        <v>77</v>
      </c>
    </row>
    <row r="42" spans="1:1">
      <c r="A42" s="2" t="s">
        <v>78</v>
      </c>
    </row>
    <row r="43" spans="1:1">
      <c r="A43" s="12" t="s">
        <v>299</v>
      </c>
    </row>
    <row r="44" spans="1:1" ht="15" customHeight="1">
      <c r="A44" s="7" t="s">
        <v>298</v>
      </c>
    </row>
    <row r="45" spans="1:1">
      <c r="A45" s="2" t="s">
        <v>79</v>
      </c>
    </row>
    <row r="46" spans="1:1">
      <c r="A46" s="3" t="s">
        <v>80</v>
      </c>
    </row>
    <row r="47" spans="1:1">
      <c r="A47" s="2" t="s">
        <v>81</v>
      </c>
    </row>
    <row r="48" spans="1:1">
      <c r="A48" s="3" t="s">
        <v>82</v>
      </c>
    </row>
    <row r="49" spans="1:1">
      <c r="A49" s="3" t="s">
        <v>83</v>
      </c>
    </row>
    <row r="50" spans="1:1">
      <c r="A50" s="2" t="s">
        <v>84</v>
      </c>
    </row>
    <row r="51" spans="1:1">
      <c r="A51" s="3" t="s">
        <v>85</v>
      </c>
    </row>
    <row r="52" spans="1:1">
      <c r="A52" s="2" t="s">
        <v>86</v>
      </c>
    </row>
    <row r="53" spans="1:1">
      <c r="A53" s="3" t="s">
        <v>87</v>
      </c>
    </row>
    <row r="54" spans="1:1">
      <c r="A54" s="3" t="s">
        <v>88</v>
      </c>
    </row>
    <row r="55" spans="1:1">
      <c r="A55" s="2" t="s">
        <v>89</v>
      </c>
    </row>
    <row r="56" spans="1:1">
      <c r="A56" s="3" t="s">
        <v>90</v>
      </c>
    </row>
    <row r="57" spans="1:1">
      <c r="A57" s="3" t="s">
        <v>91</v>
      </c>
    </row>
    <row r="58" spans="1:1">
      <c r="A58" s="2" t="s">
        <v>94</v>
      </c>
    </row>
    <row r="59" spans="1:1">
      <c r="A59" s="3" t="s">
        <v>95</v>
      </c>
    </row>
    <row r="60" spans="1:1">
      <c r="A60" s="3" t="s">
        <v>96</v>
      </c>
    </row>
    <row r="61" spans="1:1">
      <c r="A61" s="3" t="s">
        <v>97</v>
      </c>
    </row>
    <row r="62" spans="1:1">
      <c r="A62" s="3" t="s">
        <v>98</v>
      </c>
    </row>
    <row r="63" spans="1:1">
      <c r="A63" s="3" t="s">
        <v>99</v>
      </c>
    </row>
    <row r="64" spans="1:1">
      <c r="A64" s="3" t="s">
        <v>100</v>
      </c>
    </row>
    <row r="65" spans="1:1">
      <c r="A65" s="2" t="s">
        <v>101</v>
      </c>
    </row>
    <row r="66" spans="1:1">
      <c r="A66" s="3" t="s">
        <v>442</v>
      </c>
    </row>
    <row r="67" spans="1:1">
      <c r="A67" s="3" t="s">
        <v>102</v>
      </c>
    </row>
    <row r="68" spans="1:1">
      <c r="A68" s="3" t="s">
        <v>103</v>
      </c>
    </row>
    <row r="69" spans="1:1">
      <c r="A69" s="2" t="s">
        <v>104</v>
      </c>
    </row>
    <row r="70" spans="1:1">
      <c r="A70" s="3" t="s">
        <v>105</v>
      </c>
    </row>
    <row r="71" spans="1:1">
      <c r="A71" s="2" t="s">
        <v>106</v>
      </c>
    </row>
    <row r="72" spans="1:1">
      <c r="A72" s="3" t="s">
        <v>107</v>
      </c>
    </row>
    <row r="73" spans="1:1">
      <c r="A73" s="2" t="s">
        <v>108</v>
      </c>
    </row>
    <row r="74" spans="1:1">
      <c r="A74" s="7" t="s">
        <v>109</v>
      </c>
    </row>
    <row r="75" spans="1:1">
      <c r="A75" s="7" t="s">
        <v>110</v>
      </c>
    </row>
    <row r="76" spans="1:1">
      <c r="A76" s="7" t="s">
        <v>111</v>
      </c>
    </row>
    <row r="77" spans="1:1">
      <c r="A77" s="7" t="s">
        <v>112</v>
      </c>
    </row>
    <row r="78" spans="1:1">
      <c r="A78" s="2" t="s">
        <v>113</v>
      </c>
    </row>
    <row r="79" spans="1:1">
      <c r="A79" s="3" t="s">
        <v>114</v>
      </c>
    </row>
    <row r="80" spans="1:1">
      <c r="A80" s="2" t="s">
        <v>115</v>
      </c>
    </row>
    <row r="81" spans="1:1">
      <c r="A81" s="3" t="s">
        <v>116</v>
      </c>
    </row>
  </sheetData>
  <autoFilter ref="A1:A81" xr:uid="{3DE43DC8-B40F-4A00-968B-63943084038D}"/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C57C-95F9-4612-B916-BF8AFA95E28A}">
  <dimension ref="A1:A46"/>
  <sheetViews>
    <sheetView showGridLines="0" zoomScale="124" zoomScaleNormal="85" workbookViewId="0">
      <selection activeCell="A51" sqref="A1:A51"/>
    </sheetView>
  </sheetViews>
  <sheetFormatPr baseColWidth="10" defaultColWidth="8.7109375" defaultRowHeight="15"/>
  <cols>
    <col min="1" max="1" width="122.28515625" customWidth="1"/>
  </cols>
  <sheetData>
    <row r="1" spans="1:1">
      <c r="A1" s="5" t="s">
        <v>117</v>
      </c>
    </row>
    <row r="2" spans="1:1">
      <c r="A2" s="6" t="s">
        <v>11</v>
      </c>
    </row>
    <row r="3" spans="1:1">
      <c r="A3" s="2" t="s">
        <v>118</v>
      </c>
    </row>
    <row r="4" spans="1:1">
      <c r="A4" s="3" t="s">
        <v>443</v>
      </c>
    </row>
    <row r="5" spans="1:1">
      <c r="A5" s="2" t="s">
        <v>119</v>
      </c>
    </row>
    <row r="6" spans="1:1">
      <c r="A6" s="3" t="s">
        <v>120</v>
      </c>
    </row>
    <row r="7" spans="1:1">
      <c r="A7" s="2" t="s">
        <v>121</v>
      </c>
    </row>
    <row r="8" spans="1:1">
      <c r="A8" s="3" t="s">
        <v>122</v>
      </c>
    </row>
    <row r="9" spans="1:1">
      <c r="A9" s="6" t="s">
        <v>26</v>
      </c>
    </row>
    <row r="10" spans="1:1">
      <c r="A10" s="2" t="s">
        <v>124</v>
      </c>
    </row>
    <row r="11" spans="1:1">
      <c r="A11" s="3" t="s">
        <v>125</v>
      </c>
    </row>
    <row r="12" spans="1:1">
      <c r="A12" s="3" t="s">
        <v>126</v>
      </c>
    </row>
    <row r="13" spans="1:1">
      <c r="A13" s="3" t="s">
        <v>127</v>
      </c>
    </row>
    <row r="14" spans="1:1">
      <c r="A14" s="2" t="s">
        <v>128</v>
      </c>
    </row>
    <row r="15" spans="1:1">
      <c r="A15" s="3" t="s">
        <v>129</v>
      </c>
    </row>
    <row r="16" spans="1:1">
      <c r="A16" s="2" t="s">
        <v>436</v>
      </c>
    </row>
    <row r="17" spans="1:1">
      <c r="A17" s="3" t="s">
        <v>131</v>
      </c>
    </row>
    <row r="18" spans="1:1">
      <c r="A18" s="3" t="s">
        <v>132</v>
      </c>
    </row>
    <row r="19" spans="1:1">
      <c r="A19" s="2" t="s">
        <v>133</v>
      </c>
    </row>
    <row r="20" spans="1:1">
      <c r="A20" s="3" t="s">
        <v>134</v>
      </c>
    </row>
    <row r="21" spans="1:1">
      <c r="A21" s="2" t="s">
        <v>135</v>
      </c>
    </row>
    <row r="22" spans="1:1">
      <c r="A22" s="3" t="s">
        <v>136</v>
      </c>
    </row>
    <row r="23" spans="1:1">
      <c r="A23" s="3" t="s">
        <v>137</v>
      </c>
    </row>
    <row r="24" spans="1:1">
      <c r="A24" s="3" t="s">
        <v>138</v>
      </c>
    </row>
    <row r="25" spans="1:1">
      <c r="A25" s="3" t="s">
        <v>437</v>
      </c>
    </row>
    <row r="26" spans="1:1">
      <c r="A26" s="2" t="s">
        <v>139</v>
      </c>
    </row>
    <row r="27" spans="1:1">
      <c r="A27" s="3" t="s">
        <v>140</v>
      </c>
    </row>
    <row r="28" spans="1:1">
      <c r="A28" s="2" t="s">
        <v>33</v>
      </c>
    </row>
    <row r="29" spans="1:1">
      <c r="A29" s="3" t="s">
        <v>34</v>
      </c>
    </row>
    <row r="30" spans="1:1">
      <c r="A30" s="6" t="s">
        <v>35</v>
      </c>
    </row>
    <row r="31" spans="1:1">
      <c r="A31" s="2" t="s">
        <v>36</v>
      </c>
    </row>
    <row r="32" spans="1:1">
      <c r="A32" s="3" t="s">
        <v>37</v>
      </c>
    </row>
    <row r="33" spans="1:1">
      <c r="A33" s="2" t="s">
        <v>141</v>
      </c>
    </row>
    <row r="34" spans="1:1">
      <c r="A34" s="3" t="s">
        <v>142</v>
      </c>
    </row>
    <row r="35" spans="1:1">
      <c r="A35" s="2" t="s">
        <v>143</v>
      </c>
    </row>
    <row r="36" spans="1:1">
      <c r="A36" s="3" t="s">
        <v>144</v>
      </c>
    </row>
    <row r="37" spans="1:1">
      <c r="A37" s="2" t="s">
        <v>145</v>
      </c>
    </row>
    <row r="38" spans="1:1">
      <c r="A38" s="3" t="s">
        <v>146</v>
      </c>
    </row>
    <row r="39" spans="1:1">
      <c r="A39" s="2" t="s">
        <v>147</v>
      </c>
    </row>
    <row r="40" spans="1:1">
      <c r="A40" s="3" t="s">
        <v>148</v>
      </c>
    </row>
    <row r="41" spans="1:1">
      <c r="A41" s="2" t="s">
        <v>149</v>
      </c>
    </row>
    <row r="42" spans="1:1">
      <c r="A42" s="3" t="s">
        <v>150</v>
      </c>
    </row>
    <row r="43" spans="1:1">
      <c r="A43" s="3" t="s">
        <v>151</v>
      </c>
    </row>
    <row r="44" spans="1:1">
      <c r="A44" s="3" t="s">
        <v>152</v>
      </c>
    </row>
    <row r="45" spans="1:1">
      <c r="A45" s="2" t="s">
        <v>42</v>
      </c>
    </row>
    <row r="46" spans="1:1">
      <c r="A46" s="3" t="s">
        <v>43</v>
      </c>
    </row>
  </sheetData>
  <autoFilter ref="A1:A46" xr:uid="{62E5C57C-95F9-4612-B916-BF8AFA95E28A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8F7C-224F-4977-8074-2109991FD545}">
  <dimension ref="A1:A87"/>
  <sheetViews>
    <sheetView showGridLines="0" zoomScale="108" zoomScaleNormal="85" workbookViewId="0">
      <selection activeCell="A20" sqref="A20"/>
    </sheetView>
  </sheetViews>
  <sheetFormatPr baseColWidth="10" defaultColWidth="8.7109375" defaultRowHeight="15"/>
  <cols>
    <col min="1" max="1" width="124.28515625" style="1" customWidth="1"/>
    <col min="2" max="16384" width="8.7109375" style="1"/>
  </cols>
  <sheetData>
    <row r="1" spans="1:1">
      <c r="A1" s="5" t="s">
        <v>157</v>
      </c>
    </row>
    <row r="2" spans="1:1">
      <c r="A2" s="6" t="s">
        <v>1</v>
      </c>
    </row>
    <row r="3" spans="1:1">
      <c r="A3" s="2" t="s">
        <v>158</v>
      </c>
    </row>
    <row r="4" spans="1:1">
      <c r="A4" s="3" t="s">
        <v>159</v>
      </c>
    </row>
    <row r="5" spans="1:1">
      <c r="A5" s="2" t="s">
        <v>160</v>
      </c>
    </row>
    <row r="6" spans="1:1">
      <c r="A6" s="3" t="s">
        <v>161</v>
      </c>
    </row>
    <row r="7" spans="1:1">
      <c r="A7" s="3" t="s">
        <v>162</v>
      </c>
    </row>
    <row r="8" spans="1:1">
      <c r="A8" s="3" t="s">
        <v>163</v>
      </c>
    </row>
    <row r="9" spans="1:1">
      <c r="A9" s="3" t="s">
        <v>164</v>
      </c>
    </row>
    <row r="10" spans="1:1">
      <c r="A10" s="2" t="s">
        <v>165</v>
      </c>
    </row>
    <row r="11" spans="1:1">
      <c r="A11" s="3" t="s">
        <v>166</v>
      </c>
    </row>
    <row r="12" spans="1:1">
      <c r="A12" s="2" t="s">
        <v>167</v>
      </c>
    </row>
    <row r="13" spans="1:1">
      <c r="A13" s="3" t="s">
        <v>168</v>
      </c>
    </row>
    <row r="14" spans="1:1">
      <c r="A14" s="3" t="s">
        <v>169</v>
      </c>
    </row>
    <row r="15" spans="1:1">
      <c r="A15" s="2" t="s">
        <v>170</v>
      </c>
    </row>
    <row r="16" spans="1:1">
      <c r="A16" s="3" t="s">
        <v>171</v>
      </c>
    </row>
    <row r="17" spans="1:1">
      <c r="A17" s="2" t="s">
        <v>172</v>
      </c>
    </row>
    <row r="18" spans="1:1">
      <c r="A18" s="3" t="s">
        <v>173</v>
      </c>
    </row>
    <row r="19" spans="1:1">
      <c r="A19" s="2" t="s">
        <v>174</v>
      </c>
    </row>
    <row r="20" spans="1:1">
      <c r="A20" s="7" t="s">
        <v>175</v>
      </c>
    </row>
    <row r="21" spans="1:1">
      <c r="A21" s="7" t="s">
        <v>176</v>
      </c>
    </row>
    <row r="22" spans="1:1">
      <c r="A22" s="2" t="s">
        <v>177</v>
      </c>
    </row>
    <row r="23" spans="1:1">
      <c r="A23" s="7" t="s">
        <v>178</v>
      </c>
    </row>
    <row r="24" spans="1:1">
      <c r="A24" s="7" t="s">
        <v>179</v>
      </c>
    </row>
    <row r="25" spans="1:1">
      <c r="A25" s="7" t="s">
        <v>180</v>
      </c>
    </row>
    <row r="26" spans="1:1">
      <c r="A26" s="6" t="s">
        <v>11</v>
      </c>
    </row>
    <row r="27" spans="1:1">
      <c r="A27" s="2" t="s">
        <v>181</v>
      </c>
    </row>
    <row r="28" spans="1:1">
      <c r="A28" s="7" t="s">
        <v>182</v>
      </c>
    </row>
    <row r="29" spans="1:1">
      <c r="A29" s="7" t="s">
        <v>183</v>
      </c>
    </row>
    <row r="30" spans="1:1">
      <c r="A30" s="2" t="s">
        <v>184</v>
      </c>
    </row>
    <row r="31" spans="1:1">
      <c r="A31" s="7" t="s">
        <v>185</v>
      </c>
    </row>
    <row r="32" spans="1:1">
      <c r="A32" s="7" t="s">
        <v>186</v>
      </c>
    </row>
    <row r="33" spans="1:1">
      <c r="A33" s="2" t="s">
        <v>188</v>
      </c>
    </row>
    <row r="34" spans="1:1">
      <c r="A34" s="7" t="s">
        <v>444</v>
      </c>
    </row>
    <row r="35" spans="1:1">
      <c r="A35" s="7" t="s">
        <v>189</v>
      </c>
    </row>
    <row r="36" spans="1:1">
      <c r="A36" s="2" t="s">
        <v>190</v>
      </c>
    </row>
    <row r="37" spans="1:1">
      <c r="A37" s="7" t="s">
        <v>191</v>
      </c>
    </row>
    <row r="38" spans="1:1">
      <c r="A38" s="7" t="s">
        <v>192</v>
      </c>
    </row>
    <row r="39" spans="1:1">
      <c r="A39" s="7" t="s">
        <v>178</v>
      </c>
    </row>
    <row r="40" spans="1:1">
      <c r="A40" s="2" t="s">
        <v>193</v>
      </c>
    </row>
    <row r="41" spans="1:1">
      <c r="A41" s="7" t="s">
        <v>194</v>
      </c>
    </row>
    <row r="42" spans="1:1">
      <c r="A42" s="7" t="s">
        <v>195</v>
      </c>
    </row>
    <row r="43" spans="1:1">
      <c r="A43" s="2" t="s">
        <v>196</v>
      </c>
    </row>
    <row r="44" spans="1:1">
      <c r="A44" s="7" t="s">
        <v>197</v>
      </c>
    </row>
    <row r="45" spans="1:1">
      <c r="A45" s="2" t="s">
        <v>198</v>
      </c>
    </row>
    <row r="46" spans="1:1">
      <c r="A46" s="7" t="s">
        <v>199</v>
      </c>
    </row>
    <row r="47" spans="1:1">
      <c r="A47" s="2" t="s">
        <v>200</v>
      </c>
    </row>
    <row r="48" spans="1:1">
      <c r="A48" s="7" t="s">
        <v>201</v>
      </c>
    </row>
    <row r="49" spans="1:1">
      <c r="A49" s="7" t="s">
        <v>202</v>
      </c>
    </row>
    <row r="50" spans="1:1">
      <c r="A50" s="7" t="s">
        <v>203</v>
      </c>
    </row>
    <row r="51" spans="1:1">
      <c r="A51" s="7" t="s">
        <v>204</v>
      </c>
    </row>
    <row r="52" spans="1:1">
      <c r="A52" s="2" t="s">
        <v>205</v>
      </c>
    </row>
    <row r="53" spans="1:1">
      <c r="A53" s="7" t="s">
        <v>206</v>
      </c>
    </row>
    <row r="54" spans="1:1">
      <c r="A54" s="2" t="s">
        <v>207</v>
      </c>
    </row>
    <row r="55" spans="1:1">
      <c r="A55" s="7" t="s">
        <v>208</v>
      </c>
    </row>
    <row r="56" spans="1:1">
      <c r="A56" s="2" t="s">
        <v>209</v>
      </c>
    </row>
    <row r="57" spans="1:1">
      <c r="A57" s="7" t="s">
        <v>210</v>
      </c>
    </row>
    <row r="58" spans="1:1">
      <c r="A58" s="2" t="s">
        <v>212</v>
      </c>
    </row>
    <row r="59" spans="1:1">
      <c r="A59" s="7" t="s">
        <v>203</v>
      </c>
    </row>
    <row r="60" spans="1:1">
      <c r="A60" s="2" t="s">
        <v>213</v>
      </c>
    </row>
    <row r="61" spans="1:1">
      <c r="A61" s="7" t="s">
        <v>214</v>
      </c>
    </row>
    <row r="62" spans="1:1">
      <c r="A62" s="7" t="s">
        <v>215</v>
      </c>
    </row>
    <row r="63" spans="1:1">
      <c r="A63" s="2" t="s">
        <v>216</v>
      </c>
    </row>
    <row r="64" spans="1:1">
      <c r="A64" s="7" t="s">
        <v>217</v>
      </c>
    </row>
    <row r="65" spans="1:1">
      <c r="A65" s="2" t="s">
        <v>218</v>
      </c>
    </row>
    <row r="66" spans="1:1">
      <c r="A66" s="7" t="s">
        <v>219</v>
      </c>
    </row>
    <row r="67" spans="1:1">
      <c r="A67" s="7" t="s">
        <v>220</v>
      </c>
    </row>
    <row r="68" spans="1:1">
      <c r="A68" s="7" t="s">
        <v>221</v>
      </c>
    </row>
    <row r="69" spans="1:1">
      <c r="A69" s="7" t="s">
        <v>222</v>
      </c>
    </row>
    <row r="70" spans="1:1">
      <c r="A70" s="2" t="s">
        <v>223</v>
      </c>
    </row>
    <row r="71" spans="1:1">
      <c r="A71" s="7" t="s">
        <v>224</v>
      </c>
    </row>
    <row r="72" spans="1:1">
      <c r="A72" s="7" t="s">
        <v>220</v>
      </c>
    </row>
    <row r="73" spans="1:1">
      <c r="A73" s="7" t="s">
        <v>221</v>
      </c>
    </row>
    <row r="74" spans="1:1">
      <c r="A74" s="7" t="s">
        <v>222</v>
      </c>
    </row>
    <row r="75" spans="1:1">
      <c r="A75" s="2" t="s">
        <v>225</v>
      </c>
    </row>
    <row r="76" spans="1:1">
      <c r="A76" s="7" t="s">
        <v>226</v>
      </c>
    </row>
    <row r="77" spans="1:1">
      <c r="A77" s="7" t="s">
        <v>227</v>
      </c>
    </row>
    <row r="78" spans="1:1">
      <c r="A78" s="6" t="s">
        <v>26</v>
      </c>
    </row>
    <row r="79" spans="1:1">
      <c r="A79" s="2" t="s">
        <v>228</v>
      </c>
    </row>
    <row r="80" spans="1:1">
      <c r="A80" s="7" t="s">
        <v>144</v>
      </c>
    </row>
    <row r="81" spans="1:1">
      <c r="A81" s="2" t="s">
        <v>229</v>
      </c>
    </row>
    <row r="82" spans="1:1">
      <c r="A82" s="7" t="s">
        <v>28</v>
      </c>
    </row>
    <row r="83" spans="1:1">
      <c r="A83" s="2" t="s">
        <v>230</v>
      </c>
    </row>
    <row r="84" spans="1:1">
      <c r="A84" s="7" t="s">
        <v>29</v>
      </c>
    </row>
    <row r="85" spans="1:1">
      <c r="A85" s="2" t="s">
        <v>33</v>
      </c>
    </row>
    <row r="86" spans="1:1">
      <c r="A86" s="7" t="s">
        <v>34</v>
      </c>
    </row>
    <row r="87" spans="1:1">
      <c r="A87" s="6"/>
    </row>
  </sheetData>
  <autoFilter ref="A1:A87" xr:uid="{3F1E8F7C-224F-4977-8074-2109991FD545}"/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F198-873B-452A-89AC-8A99E1BFBBEA}">
  <dimension ref="A1:A52"/>
  <sheetViews>
    <sheetView showGridLines="0" zoomScale="97" zoomScaleNormal="85" workbookViewId="0">
      <selection activeCell="A21" sqref="A21"/>
    </sheetView>
  </sheetViews>
  <sheetFormatPr baseColWidth="10" defaultColWidth="8.7109375" defaultRowHeight="15"/>
  <cols>
    <col min="1" max="1" width="126.5703125" style="1" bestFit="1" customWidth="1"/>
    <col min="2" max="16384" width="8.7109375" style="1"/>
  </cols>
  <sheetData>
    <row r="1" spans="1:1">
      <c r="A1" s="5" t="s">
        <v>231</v>
      </c>
    </row>
    <row r="2" spans="1:1">
      <c r="A2" s="6" t="s">
        <v>11</v>
      </c>
    </row>
    <row r="3" spans="1:1">
      <c r="A3" s="2" t="s">
        <v>12</v>
      </c>
    </row>
    <row r="4" spans="1:1" ht="14.65" customHeight="1">
      <c r="A4" s="3" t="s">
        <v>185</v>
      </c>
    </row>
    <row r="5" spans="1:1">
      <c r="A5" s="3" t="s">
        <v>186</v>
      </c>
    </row>
    <row r="6" spans="1:1">
      <c r="A6" s="3" t="s">
        <v>122</v>
      </c>
    </row>
    <row r="7" spans="1:1">
      <c r="A7" s="6" t="s">
        <v>16</v>
      </c>
    </row>
    <row r="8" spans="1:1">
      <c r="A8" s="2" t="s">
        <v>233</v>
      </c>
    </row>
    <row r="9" spans="1:1">
      <c r="A9" s="7" t="s">
        <v>234</v>
      </c>
    </row>
    <row r="10" spans="1:1">
      <c r="A10" s="2" t="s">
        <v>239</v>
      </c>
    </row>
    <row r="11" spans="1:1">
      <c r="A11" s="7" t="s">
        <v>240</v>
      </c>
    </row>
    <row r="12" spans="1:1">
      <c r="A12" s="2" t="s">
        <v>241</v>
      </c>
    </row>
    <row r="13" spans="1:1">
      <c r="A13" s="7" t="s">
        <v>242</v>
      </c>
    </row>
    <row r="14" spans="1:1">
      <c r="A14" s="2" t="s">
        <v>244</v>
      </c>
    </row>
    <row r="15" spans="1:1">
      <c r="A15" s="7" t="s">
        <v>245</v>
      </c>
    </row>
    <row r="16" spans="1:1">
      <c r="A16" s="2" t="s">
        <v>246</v>
      </c>
    </row>
    <row r="17" spans="1:1">
      <c r="A17" s="7" t="s">
        <v>247</v>
      </c>
    </row>
    <row r="18" spans="1:1">
      <c r="A18" s="2" t="s">
        <v>248</v>
      </c>
    </row>
    <row r="19" spans="1:1">
      <c r="A19" s="7" t="s">
        <v>249</v>
      </c>
    </row>
    <row r="20" spans="1:1">
      <c r="A20" s="7" t="s">
        <v>250</v>
      </c>
    </row>
    <row r="21" spans="1:1">
      <c r="A21" s="7" t="s">
        <v>251</v>
      </c>
    </row>
    <row r="22" spans="1:1">
      <c r="A22" s="6" t="s">
        <v>26</v>
      </c>
    </row>
    <row r="23" spans="1:1">
      <c r="A23" s="2" t="s">
        <v>59</v>
      </c>
    </row>
    <row r="24" spans="1:1">
      <c r="A24" s="7" t="s">
        <v>60</v>
      </c>
    </row>
    <row r="25" spans="1:1">
      <c r="A25" s="2" t="s">
        <v>33</v>
      </c>
    </row>
    <row r="26" spans="1:1">
      <c r="A26" s="7" t="s">
        <v>34</v>
      </c>
    </row>
    <row r="27" spans="1:1">
      <c r="A27" s="6" t="s">
        <v>35</v>
      </c>
    </row>
    <row r="28" spans="1:1">
      <c r="A28" s="2" t="s">
        <v>36</v>
      </c>
    </row>
    <row r="29" spans="1:1">
      <c r="A29" s="7" t="s">
        <v>37</v>
      </c>
    </row>
    <row r="30" spans="1:1">
      <c r="A30" s="2" t="s">
        <v>438</v>
      </c>
    </row>
    <row r="31" spans="1:1">
      <c r="A31" s="7" t="s">
        <v>261</v>
      </c>
    </row>
    <row r="32" spans="1:1">
      <c r="A32" s="7" t="s">
        <v>262</v>
      </c>
    </row>
    <row r="33" spans="1:1">
      <c r="A33" s="2" t="s">
        <v>263</v>
      </c>
    </row>
    <row r="34" spans="1:1">
      <c r="A34" s="7" t="s">
        <v>264</v>
      </c>
    </row>
    <row r="35" spans="1:1">
      <c r="A35" s="7" t="s">
        <v>265</v>
      </c>
    </row>
    <row r="36" spans="1:1">
      <c r="A36" s="7" t="s">
        <v>266</v>
      </c>
    </row>
    <row r="37" spans="1:1">
      <c r="A37" s="2" t="s">
        <v>267</v>
      </c>
    </row>
    <row r="38" spans="1:1">
      <c r="A38" s="7" t="s">
        <v>264</v>
      </c>
    </row>
    <row r="39" spans="1:1">
      <c r="A39" s="7" t="s">
        <v>265</v>
      </c>
    </row>
    <row r="40" spans="1:1">
      <c r="A40" s="7" t="s">
        <v>266</v>
      </c>
    </row>
    <row r="41" spans="1:1">
      <c r="A41" s="2" t="s">
        <v>268</v>
      </c>
    </row>
    <row r="42" spans="1:1">
      <c r="A42" s="7" t="s">
        <v>269</v>
      </c>
    </row>
    <row r="43" spans="1:1">
      <c r="A43" s="2" t="s">
        <v>270</v>
      </c>
    </row>
    <row r="44" spans="1:1">
      <c r="A44" s="7" t="s">
        <v>271</v>
      </c>
    </row>
    <row r="45" spans="1:1">
      <c r="A45" s="2" t="s">
        <v>272</v>
      </c>
    </row>
    <row r="46" spans="1:1">
      <c r="A46" s="7" t="s">
        <v>273</v>
      </c>
    </row>
    <row r="47" spans="1:1">
      <c r="A47" s="2" t="s">
        <v>274</v>
      </c>
    </row>
    <row r="48" spans="1:1">
      <c r="A48" s="7" t="s">
        <v>275</v>
      </c>
    </row>
    <row r="49" spans="1:1">
      <c r="A49" s="7" t="s">
        <v>276</v>
      </c>
    </row>
    <row r="50" spans="1:1">
      <c r="A50" s="2" t="s">
        <v>42</v>
      </c>
    </row>
    <row r="51" spans="1:1">
      <c r="A51" s="7" t="s">
        <v>43</v>
      </c>
    </row>
    <row r="52" spans="1:1">
      <c r="A52" s="6" t="s">
        <v>439</v>
      </c>
    </row>
  </sheetData>
  <autoFilter ref="A1:A52" xr:uid="{F9DEF198-873B-452A-89AC-8A99E1BFBBEA}"/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F3F6-B979-4FD6-B17E-E745A82F7DCC}">
  <dimension ref="A1:A95"/>
  <sheetViews>
    <sheetView showGridLines="0" zoomScale="89" zoomScaleNormal="85" workbookViewId="0">
      <selection activeCell="F94" sqref="F22:H94"/>
    </sheetView>
  </sheetViews>
  <sheetFormatPr baseColWidth="10" defaultColWidth="8.7109375" defaultRowHeight="15"/>
  <cols>
    <col min="1" max="1" width="115.7109375" style="1" customWidth="1"/>
    <col min="2" max="16384" width="8.7109375" style="1"/>
  </cols>
  <sheetData>
    <row r="1" spans="1:1">
      <c r="A1" s="5" t="s">
        <v>277</v>
      </c>
    </row>
    <row r="2" spans="1:1">
      <c r="A2" s="6" t="s">
        <v>11</v>
      </c>
    </row>
    <row r="3" spans="1:1">
      <c r="A3" s="6" t="s">
        <v>16</v>
      </c>
    </row>
    <row r="4" spans="1:1">
      <c r="A4" s="2" t="s">
        <v>278</v>
      </c>
    </row>
    <row r="5" spans="1:1">
      <c r="A5" s="3" t="s">
        <v>279</v>
      </c>
    </row>
    <row r="6" spans="1:1">
      <c r="A6" s="2" t="s">
        <v>280</v>
      </c>
    </row>
    <row r="7" spans="1:1">
      <c r="A7" s="7" t="s">
        <v>247</v>
      </c>
    </row>
    <row r="8" spans="1:1">
      <c r="A8" s="2" t="s">
        <v>281</v>
      </c>
    </row>
    <row r="9" spans="1:1">
      <c r="A9" s="7" t="s">
        <v>282</v>
      </c>
    </row>
    <row r="10" spans="1:1">
      <c r="A10" s="2" t="s">
        <v>283</v>
      </c>
    </row>
    <row r="11" spans="1:1">
      <c r="A11" s="7" t="s">
        <v>284</v>
      </c>
    </row>
    <row r="12" spans="1:1">
      <c r="A12" s="2" t="s">
        <v>285</v>
      </c>
    </row>
    <row r="13" spans="1:1">
      <c r="A13" s="7" t="s">
        <v>286</v>
      </c>
    </row>
    <row r="14" spans="1:1">
      <c r="A14" s="2" t="s">
        <v>288</v>
      </c>
    </row>
    <row r="15" spans="1:1">
      <c r="A15" s="7" t="s">
        <v>289</v>
      </c>
    </row>
    <row r="16" spans="1:1">
      <c r="A16" s="2" t="s">
        <v>290</v>
      </c>
    </row>
    <row r="17" spans="1:1">
      <c r="A17" s="7" t="s">
        <v>291</v>
      </c>
    </row>
    <row r="18" spans="1:1">
      <c r="A18" s="2" t="s">
        <v>292</v>
      </c>
    </row>
    <row r="19" spans="1:1">
      <c r="A19" s="7" t="s">
        <v>287</v>
      </c>
    </row>
    <row r="20" spans="1:1">
      <c r="A20" s="7" t="s">
        <v>293</v>
      </c>
    </row>
    <row r="21" spans="1:1">
      <c r="A21" s="7" t="s">
        <v>294</v>
      </c>
    </row>
    <row r="22" spans="1:1">
      <c r="A22" s="6" t="s">
        <v>26</v>
      </c>
    </row>
    <row r="23" spans="1:1">
      <c r="A23" s="2" t="s">
        <v>57</v>
      </c>
    </row>
    <row r="24" spans="1:1">
      <c r="A24" s="7" t="s">
        <v>58</v>
      </c>
    </row>
    <row r="25" spans="1:1">
      <c r="A25" s="2" t="s">
        <v>59</v>
      </c>
    </row>
    <row r="26" spans="1:1">
      <c r="A26" s="7" t="s">
        <v>60</v>
      </c>
    </row>
    <row r="27" spans="1:1">
      <c r="A27" s="2" t="s">
        <v>61</v>
      </c>
    </row>
    <row r="28" spans="1:1">
      <c r="A28" s="7" t="s">
        <v>31</v>
      </c>
    </row>
    <row r="29" spans="1:1">
      <c r="A29" s="7" t="s">
        <v>32</v>
      </c>
    </row>
    <row r="30" spans="1:1">
      <c r="A30" s="2" t="s">
        <v>62</v>
      </c>
    </row>
    <row r="31" spans="1:1">
      <c r="A31" s="7" t="s">
        <v>295</v>
      </c>
    </row>
    <row r="32" spans="1:1">
      <c r="A32" s="7" t="s">
        <v>296</v>
      </c>
    </row>
    <row r="33" spans="1:1">
      <c r="A33" s="7" t="s">
        <v>297</v>
      </c>
    </row>
    <row r="34" spans="1:1">
      <c r="A34" s="2" t="s">
        <v>64</v>
      </c>
    </row>
    <row r="35" spans="1:1">
      <c r="A35" s="7" t="s">
        <v>65</v>
      </c>
    </row>
    <row r="36" spans="1:1">
      <c r="A36" s="7" t="s">
        <v>446</v>
      </c>
    </row>
    <row r="37" spans="1:1">
      <c r="A37" s="7" t="s">
        <v>67</v>
      </c>
    </row>
    <row r="38" spans="1:1">
      <c r="A38" s="7" t="s">
        <v>68</v>
      </c>
    </row>
    <row r="39" spans="1:1">
      <c r="A39" s="7" t="s">
        <v>69</v>
      </c>
    </row>
    <row r="40" spans="1:1">
      <c r="A40" s="7" t="s">
        <v>445</v>
      </c>
    </row>
    <row r="41" spans="1:1">
      <c r="A41" s="7" t="s">
        <v>70</v>
      </c>
    </row>
    <row r="42" spans="1:1">
      <c r="A42" s="7" t="s">
        <v>72</v>
      </c>
    </row>
    <row r="43" spans="1:1">
      <c r="A43" s="2" t="s">
        <v>33</v>
      </c>
    </row>
    <row r="44" spans="1:1">
      <c r="A44" s="7" t="s">
        <v>34</v>
      </c>
    </row>
    <row r="45" spans="1:1">
      <c r="A45" s="2" t="s">
        <v>73</v>
      </c>
    </row>
    <row r="46" spans="1:1">
      <c r="A46" s="7" t="s">
        <v>74</v>
      </c>
    </row>
    <row r="47" spans="1:1">
      <c r="A47" s="7" t="s">
        <v>75</v>
      </c>
    </row>
    <row r="48" spans="1:1">
      <c r="A48" s="6" t="s">
        <v>35</v>
      </c>
    </row>
    <row r="49" spans="1:1">
      <c r="A49" s="2" t="s">
        <v>42</v>
      </c>
    </row>
    <row r="50" spans="1:1">
      <c r="A50" s="7" t="s">
        <v>43</v>
      </c>
    </row>
    <row r="51" spans="1:1">
      <c r="A51" s="6" t="s">
        <v>44</v>
      </c>
    </row>
    <row r="52" spans="1:1">
      <c r="A52" s="2" t="s">
        <v>76</v>
      </c>
    </row>
    <row r="53" spans="1:1">
      <c r="A53" s="7" t="s">
        <v>77</v>
      </c>
    </row>
    <row r="54" spans="1:1">
      <c r="A54" s="2" t="s">
        <v>78</v>
      </c>
    </row>
    <row r="55" spans="1:1">
      <c r="A55" s="7" t="s">
        <v>298</v>
      </c>
    </row>
    <row r="56" spans="1:1">
      <c r="A56" s="7" t="s">
        <v>299</v>
      </c>
    </row>
    <row r="57" spans="1:1">
      <c r="A57" s="2" t="s">
        <v>79</v>
      </c>
    </row>
    <row r="58" spans="1:1">
      <c r="A58" s="7" t="s">
        <v>80</v>
      </c>
    </row>
    <row r="59" spans="1:1">
      <c r="A59" s="2" t="s">
        <v>81</v>
      </c>
    </row>
    <row r="60" spans="1:1">
      <c r="A60" s="7" t="s">
        <v>82</v>
      </c>
    </row>
    <row r="61" spans="1:1">
      <c r="A61" s="7" t="s">
        <v>83</v>
      </c>
    </row>
    <row r="62" spans="1:1">
      <c r="A62" s="2" t="s">
        <v>84</v>
      </c>
    </row>
    <row r="63" spans="1:1">
      <c r="A63" s="7" t="s">
        <v>85</v>
      </c>
    </row>
    <row r="64" spans="1:1">
      <c r="A64" s="2" t="s">
        <v>86</v>
      </c>
    </row>
    <row r="65" spans="1:1">
      <c r="A65" s="7" t="s">
        <v>87</v>
      </c>
    </row>
    <row r="66" spans="1:1">
      <c r="A66" s="7" t="s">
        <v>88</v>
      </c>
    </row>
    <row r="67" spans="1:1">
      <c r="A67" s="2" t="s">
        <v>89</v>
      </c>
    </row>
    <row r="68" spans="1:1">
      <c r="A68" s="7" t="s">
        <v>90</v>
      </c>
    </row>
    <row r="69" spans="1:1">
      <c r="A69" s="7" t="s">
        <v>91</v>
      </c>
    </row>
    <row r="70" spans="1:1">
      <c r="A70" s="2" t="s">
        <v>92</v>
      </c>
    </row>
    <row r="71" spans="1:1">
      <c r="A71" s="7" t="s">
        <v>93</v>
      </c>
    </row>
    <row r="72" spans="1:1">
      <c r="A72" s="2" t="s">
        <v>94</v>
      </c>
    </row>
    <row r="73" spans="1:1">
      <c r="A73" s="7" t="s">
        <v>95</v>
      </c>
    </row>
    <row r="74" spans="1:1">
      <c r="A74" s="7" t="s">
        <v>96</v>
      </c>
    </row>
    <row r="75" spans="1:1">
      <c r="A75" s="7" t="s">
        <v>97</v>
      </c>
    </row>
    <row r="76" spans="1:1">
      <c r="A76" s="7" t="s">
        <v>98</v>
      </c>
    </row>
    <row r="77" spans="1:1">
      <c r="A77" s="7" t="s">
        <v>99</v>
      </c>
    </row>
    <row r="78" spans="1:1" ht="25.5">
      <c r="A78" s="7" t="s">
        <v>100</v>
      </c>
    </row>
    <row r="79" spans="1:1">
      <c r="A79" s="2" t="s">
        <v>101</v>
      </c>
    </row>
    <row r="80" spans="1:1">
      <c r="A80" s="7" t="s">
        <v>442</v>
      </c>
    </row>
    <row r="81" spans="1:1">
      <c r="A81" s="7" t="s">
        <v>102</v>
      </c>
    </row>
    <row r="82" spans="1:1">
      <c r="A82" s="7" t="s">
        <v>103</v>
      </c>
    </row>
    <row r="83" spans="1:1">
      <c r="A83" s="2" t="s">
        <v>104</v>
      </c>
    </row>
    <row r="84" spans="1:1">
      <c r="A84" s="7" t="s">
        <v>105</v>
      </c>
    </row>
    <row r="85" spans="1:1">
      <c r="A85" s="2" t="s">
        <v>300</v>
      </c>
    </row>
    <row r="86" spans="1:1">
      <c r="A86" s="7" t="s">
        <v>107</v>
      </c>
    </row>
    <row r="87" spans="1:1">
      <c r="A87" s="2" t="s">
        <v>108</v>
      </c>
    </row>
    <row r="88" spans="1:1">
      <c r="A88" s="7" t="s">
        <v>109</v>
      </c>
    </row>
    <row r="89" spans="1:1">
      <c r="A89" s="7" t="s">
        <v>110</v>
      </c>
    </row>
    <row r="90" spans="1:1">
      <c r="A90" s="7" t="s">
        <v>111</v>
      </c>
    </row>
    <row r="91" spans="1:1">
      <c r="A91" s="7" t="s">
        <v>112</v>
      </c>
    </row>
    <row r="92" spans="1:1">
      <c r="A92" s="2" t="s">
        <v>113</v>
      </c>
    </row>
    <row r="93" spans="1:1">
      <c r="A93" s="7" t="s">
        <v>114</v>
      </c>
    </row>
    <row r="94" spans="1:1">
      <c r="A94" s="2" t="s">
        <v>115</v>
      </c>
    </row>
    <row r="95" spans="1:1">
      <c r="A95" s="7" t="s">
        <v>116</v>
      </c>
    </row>
  </sheetData>
  <autoFilter ref="A1:A95" xr:uid="{2A7DF3F6-B979-4FD6-B17E-E745A82F7DCC}"/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512D-11BF-4F9E-A025-4010DDCBA923}">
  <dimension ref="F3:N132"/>
  <sheetViews>
    <sheetView zoomScale="115" zoomScaleNormal="115" workbookViewId="0">
      <selection activeCell="L118" sqref="L118"/>
    </sheetView>
  </sheetViews>
  <sheetFormatPr baseColWidth="10" defaultColWidth="8.7109375" defaultRowHeight="15"/>
  <cols>
    <col min="6" max="6" width="63.28515625" customWidth="1"/>
    <col min="7" max="7" width="0.42578125" customWidth="1"/>
    <col min="8" max="8" width="8.42578125" bestFit="1" customWidth="1"/>
    <col min="9" max="9" width="10.7109375" bestFit="1" customWidth="1"/>
    <col min="10" max="10" width="6.5703125" bestFit="1" customWidth="1"/>
    <col min="11" max="11" width="9" bestFit="1" customWidth="1"/>
    <col min="12" max="12" width="10.42578125" bestFit="1" customWidth="1"/>
    <col min="13" max="13" width="10.7109375" bestFit="1" customWidth="1"/>
  </cols>
  <sheetData>
    <row r="3" spans="6:14">
      <c r="H3" t="s">
        <v>301</v>
      </c>
      <c r="I3" t="s">
        <v>302</v>
      </c>
      <c r="J3" t="s">
        <v>303</v>
      </c>
      <c r="K3" t="s">
        <v>304</v>
      </c>
      <c r="L3" t="s">
        <v>305</v>
      </c>
      <c r="M3" t="s">
        <v>306</v>
      </c>
      <c r="N3" t="s">
        <v>307</v>
      </c>
    </row>
    <row r="4" spans="6:14">
      <c r="F4" s="2" t="s">
        <v>158</v>
      </c>
      <c r="G4" t="s">
        <v>308</v>
      </c>
      <c r="H4">
        <f>COUNTIF('LIMPIEZA (ENE,MAY,SEP)'!$A$2:$A$49,Planilha1!F4)</f>
        <v>0</v>
      </c>
      <c r="I4">
        <f>COUNTIF('SEGURIDAD I (FEB)'!$A$1:$A$81,Planilha1!F4)</f>
        <v>0</v>
      </c>
      <c r="J4">
        <f>COUNTIF('PUERTA (MAR, JUL, NOV)'!$A$1:$A$47,Planilha1!F4)</f>
        <v>0</v>
      </c>
      <c r="K4">
        <f>COUNTIF('COMANDO (ABR,OCT)'!$A$1:$A$87,Planilha1!F4)</f>
        <v>1</v>
      </c>
      <c r="L4">
        <f>COUNTIF('MAQUINARIA (JUN,DEC)'!$A$1:$A$52,Planilha1!F4)</f>
        <v>0</v>
      </c>
      <c r="M4">
        <f>COUNTIF('SEGURIDAD II (AGO)'!$A$1:$A$95,Planilha1!F4)</f>
        <v>0</v>
      </c>
      <c r="N4">
        <f>SUM(H4:M4)</f>
        <v>1</v>
      </c>
    </row>
    <row r="5" spans="6:14">
      <c r="F5" s="2" t="s">
        <v>160</v>
      </c>
      <c r="G5" t="s">
        <v>309</v>
      </c>
      <c r="H5">
        <f>COUNTIF('LIMPIEZA (ENE,MAY,SEP)'!$A$2:$A$49,Planilha1!F5)</f>
        <v>0</v>
      </c>
      <c r="I5">
        <f>COUNTIF('SEGURIDAD I (FEB)'!$A$1:$A$81,Planilha1!F5)</f>
        <v>0</v>
      </c>
      <c r="J5">
        <f>COUNTIF('PUERTA (MAR, JUL, NOV)'!$A$1:$A$47,Planilha1!F5)</f>
        <v>0</v>
      </c>
      <c r="K5">
        <f>COUNTIF('COMANDO (ABR,OCT)'!$A$1:$A$87,Planilha1!F5)</f>
        <v>1</v>
      </c>
      <c r="L5">
        <f>COUNTIF('MAQUINARIA (JUN,DEC)'!$A$1:$A$52,Planilha1!F5)</f>
        <v>0</v>
      </c>
      <c r="M5">
        <f>COUNTIF('SEGURIDAD II (AGO)'!$A$1:$A$95,Planilha1!F5)</f>
        <v>0</v>
      </c>
      <c r="N5">
        <f t="shared" ref="N5:N68" si="0">SUM(H5:M5)</f>
        <v>1</v>
      </c>
    </row>
    <row r="6" spans="6:14">
      <c r="F6" s="2" t="s">
        <v>165</v>
      </c>
      <c r="G6" t="s">
        <v>310</v>
      </c>
      <c r="H6">
        <f>COUNTIF('LIMPIEZA (ENE,MAY,SEP)'!$A$2:$A$49,Planilha1!F6)</f>
        <v>0</v>
      </c>
      <c r="I6">
        <f>COUNTIF('SEGURIDAD I (FEB)'!$A$1:$A$81,Planilha1!F6)</f>
        <v>0</v>
      </c>
      <c r="J6">
        <f>COUNTIF('PUERTA (MAR, JUL, NOV)'!$A$1:$A$47,Planilha1!F6)</f>
        <v>0</v>
      </c>
      <c r="K6">
        <f>COUNTIF('COMANDO (ABR,OCT)'!$A$1:$A$87,Planilha1!F6)</f>
        <v>1</v>
      </c>
      <c r="L6">
        <f>COUNTIF('MAQUINARIA (JUN,DEC)'!$A$1:$A$52,Planilha1!F6)</f>
        <v>0</v>
      </c>
      <c r="M6">
        <f>COUNTIF('SEGURIDAD II (AGO)'!$A$1:$A$95,Planilha1!F6)</f>
        <v>0</v>
      </c>
      <c r="N6">
        <f t="shared" si="0"/>
        <v>1</v>
      </c>
    </row>
    <row r="7" spans="6:14">
      <c r="F7" s="2" t="s">
        <v>167</v>
      </c>
      <c r="G7" t="s">
        <v>311</v>
      </c>
      <c r="H7">
        <f>COUNTIF('LIMPIEZA (ENE,MAY,SEP)'!$A$2:$A$49,Planilha1!F7)</f>
        <v>0</v>
      </c>
      <c r="I7">
        <f>COUNTIF('SEGURIDAD I (FEB)'!$A$1:$A$81,Planilha1!F7)</f>
        <v>0</v>
      </c>
      <c r="J7">
        <f>COUNTIF('PUERTA (MAR, JUL, NOV)'!$A$1:$A$47,Planilha1!F7)</f>
        <v>0</v>
      </c>
      <c r="K7">
        <f>COUNTIF('COMANDO (ABR,OCT)'!$A$1:$A$87,Planilha1!F7)</f>
        <v>1</v>
      </c>
      <c r="L7">
        <f>COUNTIF('MAQUINARIA (JUN,DEC)'!$A$1:$A$52,Planilha1!F7)</f>
        <v>0</v>
      </c>
      <c r="M7">
        <f>COUNTIF('SEGURIDAD II (AGO)'!$A$1:$A$95,Planilha1!F7)</f>
        <v>0</v>
      </c>
      <c r="N7">
        <f t="shared" si="0"/>
        <v>1</v>
      </c>
    </row>
    <row r="8" spans="6:14">
      <c r="F8" s="8" t="s">
        <v>170</v>
      </c>
      <c r="G8" t="s">
        <v>312</v>
      </c>
      <c r="H8">
        <f>COUNTIF('LIMPIEZA (ENE,MAY,SEP)'!$A$2:$A$49,Planilha1!F8)</f>
        <v>0</v>
      </c>
      <c r="I8">
        <f>COUNTIF('SEGURIDAD I (FEB)'!$A$1:$A$81,Planilha1!F8)</f>
        <v>0</v>
      </c>
      <c r="J8">
        <f>COUNTIF('PUERTA (MAR, JUL, NOV)'!$A$1:$A$47,Planilha1!F8)</f>
        <v>0</v>
      </c>
      <c r="K8">
        <f>COUNTIF('COMANDO (ABR,OCT)'!$A$1:$A$87,Planilha1!F8)</f>
        <v>1</v>
      </c>
      <c r="L8">
        <f>COUNTIF('MAQUINARIA (JUN,DEC)'!$A$1:$A$52,Planilha1!F8)</f>
        <v>0</v>
      </c>
      <c r="M8">
        <f>COUNTIF('SEGURIDAD II (AGO)'!$A$1:$A$95,Planilha1!F8)</f>
        <v>0</v>
      </c>
      <c r="N8">
        <f t="shared" si="0"/>
        <v>1</v>
      </c>
    </row>
    <row r="9" spans="6:14">
      <c r="F9" s="2" t="s">
        <v>172</v>
      </c>
      <c r="G9" t="s">
        <v>313</v>
      </c>
      <c r="H9">
        <f>COUNTIF('LIMPIEZA (ENE,MAY,SEP)'!$A$2:$A$49,Planilha1!F9)</f>
        <v>0</v>
      </c>
      <c r="I9">
        <f>COUNTIF('SEGURIDAD I (FEB)'!$A$1:$A$81,Planilha1!F9)</f>
        <v>0</v>
      </c>
      <c r="J9">
        <f>COUNTIF('PUERTA (MAR, JUL, NOV)'!$A$1:$A$47,Planilha1!F9)</f>
        <v>0</v>
      </c>
      <c r="K9">
        <f>COUNTIF('COMANDO (ABR,OCT)'!$A$1:$A$87,Planilha1!F9)</f>
        <v>1</v>
      </c>
      <c r="L9">
        <f>COUNTIF('MAQUINARIA (JUN,DEC)'!$A$1:$A$52,Planilha1!F9)</f>
        <v>0</v>
      </c>
      <c r="M9">
        <f>COUNTIF('SEGURIDAD II (AGO)'!$A$1:$A$95,Planilha1!F9)</f>
        <v>0</v>
      </c>
      <c r="N9">
        <f t="shared" si="0"/>
        <v>1</v>
      </c>
    </row>
    <row r="10" spans="6:14">
      <c r="F10" s="2" t="s">
        <v>174</v>
      </c>
      <c r="G10" t="s">
        <v>314</v>
      </c>
      <c r="H10">
        <f>COUNTIF('LIMPIEZA (ENE,MAY,SEP)'!$A$2:$A$49,Planilha1!F10)</f>
        <v>0</v>
      </c>
      <c r="I10">
        <f>COUNTIF('SEGURIDAD I (FEB)'!$A$1:$A$81,Planilha1!F10)</f>
        <v>0</v>
      </c>
      <c r="J10">
        <f>COUNTIF('PUERTA (MAR, JUL, NOV)'!$A$1:$A$47,Planilha1!F10)</f>
        <v>0</v>
      </c>
      <c r="K10">
        <f>COUNTIF('COMANDO (ABR,OCT)'!$A$1:$A$87,Planilha1!F10)</f>
        <v>1</v>
      </c>
      <c r="L10">
        <f>COUNTIF('MAQUINARIA (JUN,DEC)'!$A$1:$A$52,Planilha1!F10)</f>
        <v>0</v>
      </c>
      <c r="M10">
        <f>COUNTIF('SEGURIDAD II (AGO)'!$A$1:$A$95,Planilha1!F10)</f>
        <v>0</v>
      </c>
      <c r="N10">
        <f t="shared" si="0"/>
        <v>1</v>
      </c>
    </row>
    <row r="11" spans="6:14">
      <c r="F11" s="8" t="s">
        <v>177</v>
      </c>
      <c r="G11" t="s">
        <v>315</v>
      </c>
      <c r="H11">
        <f>COUNTIF('LIMPIEZA (ENE,MAY,SEP)'!$A$2:$A$49,Planilha1!F11)</f>
        <v>0</v>
      </c>
      <c r="I11">
        <f>COUNTIF('SEGURIDAD I (FEB)'!$A$1:$A$81,Planilha1!F11)</f>
        <v>0</v>
      </c>
      <c r="J11">
        <f>COUNTIF('PUERTA (MAR, JUL, NOV)'!$A$1:$A$47,Planilha1!F11)</f>
        <v>0</v>
      </c>
      <c r="K11">
        <f>COUNTIF('COMANDO (ABR,OCT)'!$A$1:$A$87,Planilha1!F11)</f>
        <v>1</v>
      </c>
      <c r="L11">
        <f>COUNTIF('MAQUINARIA (JUN,DEC)'!$A$1:$A$52,Planilha1!F11)</f>
        <v>0</v>
      </c>
      <c r="M11">
        <f>COUNTIF('SEGURIDAD II (AGO)'!$A$1:$A$95,Planilha1!F11)</f>
        <v>0</v>
      </c>
      <c r="N11">
        <f t="shared" si="0"/>
        <v>1</v>
      </c>
    </row>
    <row r="12" spans="6:14">
      <c r="F12" s="2" t="s">
        <v>2</v>
      </c>
      <c r="G12" t="s">
        <v>316</v>
      </c>
      <c r="H12">
        <f>COUNTIF('LIMPIEZA (ENE,MAY,SEP)'!$A$2:$A$49,Planilha1!F12)</f>
        <v>1</v>
      </c>
      <c r="I12">
        <f>COUNTIF('SEGURIDAD I (FEB)'!$A$1:$A$81,Planilha1!F12)</f>
        <v>0</v>
      </c>
      <c r="J12">
        <f>COUNTIF('PUERTA (MAR, JUL, NOV)'!$A$1:$A$47,Planilha1!F12)</f>
        <v>0</v>
      </c>
      <c r="K12">
        <f>COUNTIF('COMANDO (ABR,OCT)'!$A$1:$A$87,Planilha1!F12)</f>
        <v>0</v>
      </c>
      <c r="L12">
        <f>COUNTIF('MAQUINARIA (JUN,DEC)'!$A$1:$A$52,Planilha1!F12)</f>
        <v>0</v>
      </c>
      <c r="M12">
        <f>COUNTIF('SEGURIDAD II (AGO)'!$A$1:$A$95,Planilha1!F12)</f>
        <v>0</v>
      </c>
      <c r="N12">
        <f t="shared" si="0"/>
        <v>1</v>
      </c>
    </row>
    <row r="13" spans="6:14">
      <c r="F13" s="2" t="s">
        <v>4</v>
      </c>
      <c r="G13" t="s">
        <v>317</v>
      </c>
      <c r="H13">
        <f>COUNTIF('LIMPIEZA (ENE,MAY,SEP)'!$A$2:$A$49,Planilha1!F13)</f>
        <v>1</v>
      </c>
      <c r="I13">
        <f>COUNTIF('SEGURIDAD I (FEB)'!$A$1:$A$81,Planilha1!F13)</f>
        <v>0</v>
      </c>
      <c r="J13">
        <f>COUNTIF('PUERTA (MAR, JUL, NOV)'!$A$1:$A$47,Planilha1!F13)</f>
        <v>0</v>
      </c>
      <c r="K13">
        <f>COUNTIF('COMANDO (ABR,OCT)'!$A$1:$A$87,Planilha1!F13)</f>
        <v>0</v>
      </c>
      <c r="L13">
        <f>COUNTIF('MAQUINARIA (JUN,DEC)'!$A$1:$A$52,Planilha1!F13)</f>
        <v>0</v>
      </c>
      <c r="M13">
        <f>COUNTIF('SEGURIDAD II (AGO)'!$A$1:$A$95,Planilha1!F13)</f>
        <v>0</v>
      </c>
      <c r="N13">
        <f t="shared" si="0"/>
        <v>1</v>
      </c>
    </row>
    <row r="14" spans="6:14">
      <c r="F14" s="2" t="s">
        <v>6</v>
      </c>
      <c r="G14" t="s">
        <v>318</v>
      </c>
      <c r="H14">
        <f>COUNTIF('LIMPIEZA (ENE,MAY,SEP)'!$A$2:$A$49,Planilha1!F14)</f>
        <v>1</v>
      </c>
      <c r="I14">
        <f>COUNTIF('SEGURIDAD I (FEB)'!$A$1:$A$81,Planilha1!F14)</f>
        <v>0</v>
      </c>
      <c r="J14">
        <f>COUNTIF('PUERTA (MAR, JUL, NOV)'!$A$1:$A$47,Planilha1!F14)</f>
        <v>0</v>
      </c>
      <c r="K14">
        <f>COUNTIF('COMANDO (ABR,OCT)'!$A$1:$A$87,Planilha1!F14)</f>
        <v>0</v>
      </c>
      <c r="L14">
        <f>COUNTIF('MAQUINARIA (JUN,DEC)'!$A$1:$A$52,Planilha1!F14)</f>
        <v>0</v>
      </c>
      <c r="M14">
        <f>COUNTIF('SEGURIDAD II (AGO)'!$A$1:$A$95,Planilha1!F14)</f>
        <v>0</v>
      </c>
      <c r="N14">
        <f t="shared" si="0"/>
        <v>1</v>
      </c>
    </row>
    <row r="15" spans="6:14">
      <c r="F15" s="2" t="s">
        <v>181</v>
      </c>
      <c r="G15" t="s">
        <v>319</v>
      </c>
      <c r="H15">
        <f>COUNTIF('LIMPIEZA (ENE,MAY,SEP)'!$A$2:$A$49,Planilha1!F15)</f>
        <v>0</v>
      </c>
      <c r="I15">
        <f>COUNTIF('SEGURIDAD I (FEB)'!$A$1:$A$81,Planilha1!F15)</f>
        <v>0</v>
      </c>
      <c r="J15">
        <f>COUNTIF('PUERTA (MAR, JUL, NOV)'!$A$1:$A$47,Planilha1!F15)</f>
        <v>0</v>
      </c>
      <c r="K15">
        <f>COUNTIF('COMANDO (ABR,OCT)'!$A$1:$A$87,Planilha1!F15)</f>
        <v>1</v>
      </c>
      <c r="L15">
        <f>COUNTIF('MAQUINARIA (JUN,DEC)'!$A$1:$A$52,Planilha1!F15)</f>
        <v>0</v>
      </c>
      <c r="M15">
        <f>COUNTIF('SEGURIDAD II (AGO)'!$A$1:$A$95,Planilha1!F15)</f>
        <v>0</v>
      </c>
      <c r="N15">
        <f t="shared" si="0"/>
        <v>1</v>
      </c>
    </row>
    <row r="16" spans="6:14">
      <c r="F16" s="2" t="s">
        <v>184</v>
      </c>
      <c r="G16" t="s">
        <v>320</v>
      </c>
      <c r="H16">
        <f>COUNTIF('LIMPIEZA (ENE,MAY,SEP)'!$A$2:$A$49,Planilha1!F16)</f>
        <v>0</v>
      </c>
      <c r="I16">
        <f>COUNTIF('SEGURIDAD I (FEB)'!$A$1:$A$81,Planilha1!F16)</f>
        <v>0</v>
      </c>
      <c r="J16">
        <f>COUNTIF('PUERTA (MAR, JUL, NOV)'!$A$1:$A$47,Planilha1!F16)</f>
        <v>0</v>
      </c>
      <c r="K16">
        <f>COUNTIF('COMANDO (ABR,OCT)'!$A$1:$A$87,Planilha1!F16)</f>
        <v>1</v>
      </c>
      <c r="L16">
        <f>COUNTIF('MAQUINARIA (JUN,DEC)'!$A$1:$A$52,Planilha1!F16)</f>
        <v>0</v>
      </c>
      <c r="M16">
        <f>COUNTIF('SEGURIDAD II (AGO)'!$A$1:$A$95,Planilha1!F16)</f>
        <v>0</v>
      </c>
      <c r="N16">
        <f t="shared" si="0"/>
        <v>1</v>
      </c>
    </row>
    <row r="17" spans="6:14">
      <c r="F17" s="2" t="s">
        <v>187</v>
      </c>
      <c r="G17" t="s">
        <v>321</v>
      </c>
      <c r="H17">
        <f>COUNTIF('LIMPIEZA (ENE,MAY,SEP)'!$A$2:$A$49,Planilha1!F17)</f>
        <v>0</v>
      </c>
      <c r="I17">
        <f>COUNTIF('SEGURIDAD I (FEB)'!$A$1:$A$81,Planilha1!F17)</f>
        <v>0</v>
      </c>
      <c r="J17">
        <f>COUNTIF('PUERTA (MAR, JUL, NOV)'!$A$1:$A$47,Planilha1!F17)</f>
        <v>0</v>
      </c>
      <c r="K17">
        <f>COUNTIF('COMANDO (ABR,OCT)'!$A$1:$A$87,Planilha1!F17)</f>
        <v>0</v>
      </c>
      <c r="L17">
        <f>COUNTIF('MAQUINARIA (JUN,DEC)'!$A$1:$A$52,Planilha1!F17)</f>
        <v>0</v>
      </c>
      <c r="M17">
        <f>COUNTIF('SEGURIDAD II (AGO)'!$A$1:$A$95,Planilha1!F17)</f>
        <v>0</v>
      </c>
      <c r="N17">
        <f t="shared" si="0"/>
        <v>0</v>
      </c>
    </row>
    <row r="18" spans="6:14">
      <c r="F18" s="8" t="s">
        <v>118</v>
      </c>
      <c r="G18" t="s">
        <v>322</v>
      </c>
      <c r="H18">
        <f>COUNTIF('LIMPIEZA (ENE,MAY,SEP)'!$A$2:$A$49,Planilha1!F18)</f>
        <v>0</v>
      </c>
      <c r="I18">
        <f>COUNTIF('SEGURIDAD I (FEB)'!$A$1:$A$81,Planilha1!F18)</f>
        <v>0</v>
      </c>
      <c r="J18">
        <f>COUNTIF('PUERTA (MAR, JUL, NOV)'!$A$1:$A$47,Planilha1!F18)</f>
        <v>1</v>
      </c>
      <c r="K18">
        <f>COUNTIF('COMANDO (ABR,OCT)'!$A$1:$A$87,Planilha1!F18)</f>
        <v>0</v>
      </c>
      <c r="L18">
        <f>COUNTIF('MAQUINARIA (JUN,DEC)'!$A$1:$A$52,Planilha1!F18)</f>
        <v>0</v>
      </c>
      <c r="M18">
        <f>COUNTIF('SEGURIDAD II (AGO)'!$A$1:$A$95,Planilha1!F18)</f>
        <v>0</v>
      </c>
      <c r="N18">
        <f t="shared" si="0"/>
        <v>1</v>
      </c>
    </row>
    <row r="19" spans="6:14">
      <c r="F19" s="9" t="s">
        <v>119</v>
      </c>
      <c r="G19" t="s">
        <v>323</v>
      </c>
      <c r="H19">
        <f>COUNTIF('LIMPIEZA (ENE,MAY,SEP)'!$A$2:$A$49,Planilha1!F19)</f>
        <v>0</v>
      </c>
      <c r="I19">
        <f>COUNTIF('SEGURIDAD I (FEB)'!$A$1:$A$81,Planilha1!F19)</f>
        <v>0</v>
      </c>
      <c r="J19">
        <f>COUNTIF('PUERTA (MAR, JUL, NOV)'!$A$1:$A$47,Planilha1!F19)</f>
        <v>1</v>
      </c>
      <c r="K19">
        <f>COUNTIF('COMANDO (ABR,OCT)'!$A$1:$A$87,Planilha1!F19)</f>
        <v>0</v>
      </c>
      <c r="L19">
        <f>COUNTIF('MAQUINARIA (JUN,DEC)'!$A$1:$A$52,Planilha1!F19)</f>
        <v>0</v>
      </c>
      <c r="M19">
        <f>COUNTIF('SEGURIDAD II (AGO)'!$A$1:$A$95,Planilha1!F19)</f>
        <v>0</v>
      </c>
      <c r="N19">
        <f t="shared" si="0"/>
        <v>1</v>
      </c>
    </row>
    <row r="20" spans="6:14">
      <c r="F20" s="2" t="s">
        <v>12</v>
      </c>
      <c r="G20" t="s">
        <v>324</v>
      </c>
      <c r="H20">
        <f>COUNTIF('LIMPIEZA (ENE,MAY,SEP)'!$A$2:$A$49,Planilha1!F20)</f>
        <v>1</v>
      </c>
      <c r="I20">
        <f>COUNTIF('SEGURIDAD I (FEB)'!$A$1:$A$81,Planilha1!F20)</f>
        <v>1</v>
      </c>
      <c r="J20">
        <f>COUNTIF('PUERTA (MAR, JUL, NOV)'!$A$1:$A$47,Planilha1!F20)</f>
        <v>0</v>
      </c>
      <c r="K20">
        <f>COUNTIF('COMANDO (ABR,OCT)'!$A$1:$A$87,Planilha1!F20)</f>
        <v>0</v>
      </c>
      <c r="L20">
        <f>COUNTIF('MAQUINARIA (JUN,DEC)'!$A$1:$A$52,Planilha1!F20)</f>
        <v>1</v>
      </c>
      <c r="M20">
        <f>COUNTIF('SEGURIDAD II (AGO)'!$A$1:$A$95,Planilha1!F20)</f>
        <v>0</v>
      </c>
      <c r="N20">
        <f t="shared" si="0"/>
        <v>3</v>
      </c>
    </row>
    <row r="21" spans="6:14">
      <c r="F21" s="9" t="s">
        <v>121</v>
      </c>
      <c r="G21" t="s">
        <v>325</v>
      </c>
      <c r="H21">
        <f>COUNTIF('LIMPIEZA (ENE,MAY,SEP)'!$A$2:$A$49,Planilha1!F21)</f>
        <v>0</v>
      </c>
      <c r="I21">
        <f>COUNTIF('SEGURIDAD I (FEB)'!$A$1:$A$81,Planilha1!F21)</f>
        <v>0</v>
      </c>
      <c r="J21">
        <f>COUNTIF('PUERTA (MAR, JUL, NOV)'!$A$1:$A$47,Planilha1!F21)</f>
        <v>1</v>
      </c>
      <c r="K21">
        <f>COUNTIF('COMANDO (ABR,OCT)'!$A$1:$A$87,Planilha1!F21)</f>
        <v>0</v>
      </c>
      <c r="L21">
        <f>COUNTIF('MAQUINARIA (JUN,DEC)'!$A$1:$A$52,Planilha1!F21)</f>
        <v>0</v>
      </c>
      <c r="M21">
        <f>COUNTIF('SEGURIDAD II (AGO)'!$A$1:$A$95,Planilha1!F21)</f>
        <v>0</v>
      </c>
      <c r="N21">
        <f t="shared" si="0"/>
        <v>1</v>
      </c>
    </row>
    <row r="22" spans="6:14">
      <c r="F22" s="2" t="s">
        <v>188</v>
      </c>
      <c r="G22" t="s">
        <v>326</v>
      </c>
      <c r="H22">
        <f>COUNTIF('LIMPIEZA (ENE,MAY,SEP)'!$A$2:$A$49,Planilha1!F22)</f>
        <v>0</v>
      </c>
      <c r="I22">
        <f>COUNTIF('SEGURIDAD I (FEB)'!$A$1:$A$81,Planilha1!F22)</f>
        <v>0</v>
      </c>
      <c r="J22">
        <f>COUNTIF('PUERTA (MAR, JUL, NOV)'!$A$1:$A$47,Planilha1!F22)</f>
        <v>0</v>
      </c>
      <c r="K22">
        <f>COUNTIF('COMANDO (ABR,OCT)'!$A$1:$A$87,Planilha1!F22)</f>
        <v>1</v>
      </c>
      <c r="L22">
        <f>COUNTIF('MAQUINARIA (JUN,DEC)'!$A$1:$A$52,Planilha1!F22)</f>
        <v>0</v>
      </c>
      <c r="M22">
        <f>COUNTIF('SEGURIDAD II (AGO)'!$A$1:$A$95,Planilha1!F22)</f>
        <v>0</v>
      </c>
      <c r="N22">
        <f t="shared" si="0"/>
        <v>1</v>
      </c>
    </row>
    <row r="23" spans="6:14">
      <c r="F23" s="2" t="s">
        <v>190</v>
      </c>
      <c r="G23" t="s">
        <v>327</v>
      </c>
      <c r="H23">
        <f>COUNTIF('LIMPIEZA (ENE,MAY,SEP)'!$A$2:$A$49,Planilha1!F23)</f>
        <v>0</v>
      </c>
      <c r="I23">
        <f>COUNTIF('SEGURIDAD I (FEB)'!$A$1:$A$81,Planilha1!F23)</f>
        <v>0</v>
      </c>
      <c r="J23">
        <f>COUNTIF('PUERTA (MAR, JUL, NOV)'!$A$1:$A$47,Planilha1!F23)</f>
        <v>0</v>
      </c>
      <c r="K23">
        <f>COUNTIF('COMANDO (ABR,OCT)'!$A$1:$A$87,Planilha1!F23)</f>
        <v>1</v>
      </c>
      <c r="L23">
        <f>COUNTIF('MAQUINARIA (JUN,DEC)'!$A$1:$A$52,Planilha1!F23)</f>
        <v>0</v>
      </c>
      <c r="M23">
        <f>COUNTIF('SEGURIDAD II (AGO)'!$A$1:$A$95,Planilha1!F23)</f>
        <v>0</v>
      </c>
      <c r="N23">
        <f t="shared" si="0"/>
        <v>1</v>
      </c>
    </row>
    <row r="24" spans="6:14">
      <c r="F24" s="2" t="s">
        <v>193</v>
      </c>
      <c r="G24" t="s">
        <v>328</v>
      </c>
      <c r="H24">
        <f>COUNTIF('LIMPIEZA (ENE,MAY,SEP)'!$A$2:$A$49,Planilha1!F24)</f>
        <v>0</v>
      </c>
      <c r="I24">
        <f>COUNTIF('SEGURIDAD I (FEB)'!$A$1:$A$81,Planilha1!F24)</f>
        <v>0</v>
      </c>
      <c r="J24">
        <f>COUNTIF('PUERTA (MAR, JUL, NOV)'!$A$1:$A$47,Planilha1!F24)</f>
        <v>0</v>
      </c>
      <c r="K24">
        <f>COUNTIF('COMANDO (ABR,OCT)'!$A$1:$A$87,Planilha1!F24)</f>
        <v>1</v>
      </c>
      <c r="L24">
        <f>COUNTIF('MAQUINARIA (JUN,DEC)'!$A$1:$A$52,Planilha1!F24)</f>
        <v>0</v>
      </c>
      <c r="M24">
        <f>COUNTIF('SEGURIDAD II (AGO)'!$A$1:$A$95,Planilha1!F24)</f>
        <v>0</v>
      </c>
      <c r="N24">
        <f t="shared" si="0"/>
        <v>1</v>
      </c>
    </row>
    <row r="25" spans="6:14">
      <c r="F25" s="8" t="s">
        <v>232</v>
      </c>
      <c r="G25" t="s">
        <v>329</v>
      </c>
      <c r="H25">
        <f>COUNTIF('LIMPIEZA (ENE,MAY,SEP)'!$A$2:$A$49,Planilha1!F25)</f>
        <v>0</v>
      </c>
      <c r="I25">
        <f>COUNTIF('SEGURIDAD I (FEB)'!$A$1:$A$81,Planilha1!F25)</f>
        <v>0</v>
      </c>
      <c r="J25">
        <f>COUNTIF('PUERTA (MAR, JUL, NOV)'!$A$1:$A$47,Planilha1!F25)</f>
        <v>0</v>
      </c>
      <c r="K25">
        <f>COUNTIF('COMANDO (ABR,OCT)'!$A$1:$A$87,Planilha1!F25)</f>
        <v>0</v>
      </c>
      <c r="L25">
        <f>COUNTIF('MAQUINARIA (JUN,DEC)'!$A$1:$A$52,Planilha1!F25)</f>
        <v>0</v>
      </c>
      <c r="M25">
        <f>COUNTIF('SEGURIDAD II (AGO)'!$A$1:$A$95,Planilha1!F25)</f>
        <v>0</v>
      </c>
      <c r="N25">
        <f t="shared" si="0"/>
        <v>0</v>
      </c>
    </row>
    <row r="26" spans="6:14">
      <c r="F26" s="8" t="s">
        <v>233</v>
      </c>
      <c r="G26" t="s">
        <v>330</v>
      </c>
      <c r="H26">
        <f>COUNTIF('LIMPIEZA (ENE,MAY,SEP)'!$A$2:$A$49,Planilha1!F26)</f>
        <v>0</v>
      </c>
      <c r="I26">
        <f>COUNTIF('SEGURIDAD I (FEB)'!$A$1:$A$81,Planilha1!F26)</f>
        <v>0</v>
      </c>
      <c r="J26">
        <f>COUNTIF('PUERTA (MAR, JUL, NOV)'!$A$1:$A$47,Planilha1!F26)</f>
        <v>0</v>
      </c>
      <c r="K26">
        <f>COUNTIF('COMANDO (ABR,OCT)'!$A$1:$A$87,Planilha1!F26)</f>
        <v>0</v>
      </c>
      <c r="L26">
        <f>COUNTIF('MAQUINARIA (JUN,DEC)'!$A$1:$A$52,Planilha1!F26)</f>
        <v>1</v>
      </c>
      <c r="M26">
        <f>COUNTIF('SEGURIDAD II (AGO)'!$A$1:$A$95,Planilha1!F26)</f>
        <v>0</v>
      </c>
      <c r="N26">
        <f t="shared" si="0"/>
        <v>1</v>
      </c>
    </row>
    <row r="27" spans="6:14">
      <c r="F27" s="9" t="s">
        <v>235</v>
      </c>
      <c r="G27" t="s">
        <v>331</v>
      </c>
      <c r="H27">
        <f>COUNTIF('LIMPIEZA (ENE,MAY,SEP)'!$A$2:$A$49,Planilha1!F27)</f>
        <v>0</v>
      </c>
      <c r="I27">
        <f>COUNTIF('SEGURIDAD I (FEB)'!$A$1:$A$81,Planilha1!F27)</f>
        <v>0</v>
      </c>
      <c r="J27">
        <f>COUNTIF('PUERTA (MAR, JUL, NOV)'!$A$1:$A$47,Planilha1!F27)</f>
        <v>0</v>
      </c>
      <c r="K27">
        <f>COUNTIF('COMANDO (ABR,OCT)'!$A$1:$A$87,Planilha1!F27)</f>
        <v>0</v>
      </c>
      <c r="L27">
        <f>COUNTIF('MAQUINARIA (JUN,DEC)'!$A$1:$A$52,Planilha1!F27)</f>
        <v>0</v>
      </c>
      <c r="M27">
        <f>COUNTIF('SEGURIDAD II (AGO)'!$A$1:$A$95,Planilha1!F27)</f>
        <v>0</v>
      </c>
      <c r="N27">
        <f t="shared" si="0"/>
        <v>0</v>
      </c>
    </row>
    <row r="28" spans="6:14">
      <c r="F28" s="9" t="s">
        <v>236</v>
      </c>
      <c r="G28" t="s">
        <v>332</v>
      </c>
      <c r="H28">
        <f>COUNTIF('LIMPIEZA (ENE,MAY,SEP)'!$A$2:$A$49,Planilha1!F28)</f>
        <v>0</v>
      </c>
      <c r="I28">
        <f>COUNTIF('SEGURIDAD I (FEB)'!$A$1:$A$81,Planilha1!F28)</f>
        <v>0</v>
      </c>
      <c r="J28">
        <f>COUNTIF('PUERTA (MAR, JUL, NOV)'!$A$1:$A$47,Planilha1!F28)</f>
        <v>0</v>
      </c>
      <c r="K28">
        <f>COUNTIF('COMANDO (ABR,OCT)'!$A$1:$A$87,Planilha1!F28)</f>
        <v>0</v>
      </c>
      <c r="L28">
        <f>COUNTIF('MAQUINARIA (JUN,DEC)'!$A$1:$A$52,Planilha1!F28)</f>
        <v>0</v>
      </c>
      <c r="M28">
        <f>COUNTIF('SEGURIDAD II (AGO)'!$A$1:$A$95,Planilha1!F28)</f>
        <v>0</v>
      </c>
      <c r="N28">
        <f t="shared" si="0"/>
        <v>0</v>
      </c>
    </row>
    <row r="29" spans="6:14">
      <c r="F29" s="9" t="s">
        <v>237</v>
      </c>
      <c r="G29" t="s">
        <v>333</v>
      </c>
      <c r="H29">
        <f>COUNTIF('LIMPIEZA (ENE,MAY,SEP)'!$A$2:$A$49,Planilha1!F29)</f>
        <v>0</v>
      </c>
      <c r="I29">
        <f>COUNTIF('SEGURIDAD I (FEB)'!$A$1:$A$81,Planilha1!F29)</f>
        <v>0</v>
      </c>
      <c r="J29">
        <f>COUNTIF('PUERTA (MAR, JUL, NOV)'!$A$1:$A$47,Planilha1!F29)</f>
        <v>0</v>
      </c>
      <c r="K29">
        <f>COUNTIF('COMANDO (ABR,OCT)'!$A$1:$A$87,Planilha1!F29)</f>
        <v>0</v>
      </c>
      <c r="L29">
        <f>COUNTIF('MAQUINARIA (JUN,DEC)'!$A$1:$A$52,Planilha1!F29)</f>
        <v>0</v>
      </c>
      <c r="M29">
        <f>COUNTIF('SEGURIDAD II (AGO)'!$A$1:$A$95,Planilha1!F29)</f>
        <v>0</v>
      </c>
      <c r="N29">
        <f t="shared" si="0"/>
        <v>0</v>
      </c>
    </row>
    <row r="30" spans="6:14">
      <c r="F30" s="9" t="s">
        <v>238</v>
      </c>
      <c r="G30" t="s">
        <v>334</v>
      </c>
      <c r="H30">
        <f>COUNTIF('LIMPIEZA (ENE,MAY,SEP)'!$A$2:$A$49,Planilha1!F30)</f>
        <v>0</v>
      </c>
      <c r="I30">
        <f>COUNTIF('SEGURIDAD I (FEB)'!$A$1:$A$81,Planilha1!F30)</f>
        <v>0</v>
      </c>
      <c r="J30">
        <f>COUNTIF('PUERTA (MAR, JUL, NOV)'!$A$1:$A$47,Planilha1!F30)</f>
        <v>0</v>
      </c>
      <c r="K30">
        <f>COUNTIF('COMANDO (ABR,OCT)'!$A$1:$A$87,Planilha1!F30)</f>
        <v>0</v>
      </c>
      <c r="L30">
        <f>COUNTIF('MAQUINARIA (JUN,DEC)'!$A$1:$A$52,Planilha1!F30)</f>
        <v>0</v>
      </c>
      <c r="M30">
        <f>COUNTIF('SEGURIDAD II (AGO)'!$A$1:$A$95,Planilha1!F30)</f>
        <v>0</v>
      </c>
      <c r="N30">
        <f t="shared" si="0"/>
        <v>0</v>
      </c>
    </row>
    <row r="31" spans="6:14">
      <c r="F31" s="9" t="s">
        <v>239</v>
      </c>
      <c r="G31" t="s">
        <v>335</v>
      </c>
      <c r="H31">
        <f>COUNTIF('LIMPIEZA (ENE,MAY,SEP)'!$A$2:$A$49,Planilha1!F31)</f>
        <v>0</v>
      </c>
      <c r="I31">
        <f>COUNTIF('SEGURIDAD I (FEB)'!$A$1:$A$81,Planilha1!F31)</f>
        <v>0</v>
      </c>
      <c r="J31">
        <f>COUNTIF('PUERTA (MAR, JUL, NOV)'!$A$1:$A$47,Planilha1!F31)</f>
        <v>0</v>
      </c>
      <c r="K31">
        <f>COUNTIF('COMANDO (ABR,OCT)'!$A$1:$A$87,Planilha1!F31)</f>
        <v>0</v>
      </c>
      <c r="L31">
        <f>COUNTIF('MAQUINARIA (JUN,DEC)'!$A$1:$A$52,Planilha1!F31)</f>
        <v>1</v>
      </c>
      <c r="M31">
        <f>COUNTIF('SEGURIDAD II (AGO)'!$A$1:$A$95,Planilha1!F31)</f>
        <v>0</v>
      </c>
      <c r="N31">
        <f t="shared" si="0"/>
        <v>1</v>
      </c>
    </row>
    <row r="32" spans="6:14">
      <c r="F32" s="9" t="s">
        <v>241</v>
      </c>
      <c r="G32" t="s">
        <v>336</v>
      </c>
      <c r="H32">
        <f>COUNTIF('LIMPIEZA (ENE,MAY,SEP)'!$A$2:$A$49,Planilha1!F32)</f>
        <v>0</v>
      </c>
      <c r="I32">
        <f>COUNTIF('SEGURIDAD I (FEB)'!$A$1:$A$81,Planilha1!F32)</f>
        <v>0</v>
      </c>
      <c r="J32">
        <f>COUNTIF('PUERTA (MAR, JUL, NOV)'!$A$1:$A$47,Planilha1!F32)</f>
        <v>0</v>
      </c>
      <c r="K32">
        <f>COUNTIF('COMANDO (ABR,OCT)'!$A$1:$A$87,Planilha1!F32)</f>
        <v>0</v>
      </c>
      <c r="L32">
        <f>COUNTIF('MAQUINARIA (JUN,DEC)'!$A$1:$A$52,Planilha1!F32)</f>
        <v>1</v>
      </c>
      <c r="M32">
        <f>COUNTIF('SEGURIDAD II (AGO)'!$A$1:$A$95,Planilha1!F32)</f>
        <v>0</v>
      </c>
      <c r="N32">
        <f t="shared" si="0"/>
        <v>1</v>
      </c>
    </row>
    <row r="33" spans="6:14">
      <c r="F33" s="9" t="s">
        <v>243</v>
      </c>
      <c r="G33" t="s">
        <v>337</v>
      </c>
      <c r="H33">
        <f>COUNTIF('LIMPIEZA (ENE,MAY,SEP)'!$A$2:$A$49,Planilha1!F33)</f>
        <v>0</v>
      </c>
      <c r="I33">
        <f>COUNTIF('SEGURIDAD I (FEB)'!$A$1:$A$81,Planilha1!F33)</f>
        <v>0</v>
      </c>
      <c r="J33">
        <f>COUNTIF('PUERTA (MAR, JUL, NOV)'!$A$1:$A$47,Planilha1!F33)</f>
        <v>0</v>
      </c>
      <c r="K33">
        <f>COUNTIF('COMANDO (ABR,OCT)'!$A$1:$A$87,Planilha1!F33)</f>
        <v>0</v>
      </c>
      <c r="L33">
        <f>COUNTIF('MAQUINARIA (JUN,DEC)'!$A$1:$A$52,Planilha1!F33)</f>
        <v>0</v>
      </c>
      <c r="M33">
        <f>COUNTIF('SEGURIDAD II (AGO)'!$A$1:$A$95,Planilha1!F33)</f>
        <v>0</v>
      </c>
      <c r="N33">
        <f t="shared" si="0"/>
        <v>0</v>
      </c>
    </row>
    <row r="34" spans="6:14">
      <c r="F34" s="9" t="s">
        <v>244</v>
      </c>
      <c r="G34" t="s">
        <v>338</v>
      </c>
      <c r="H34">
        <f>COUNTIF('LIMPIEZA (ENE,MAY,SEP)'!$A$2:$A$49,Planilha1!F34)</f>
        <v>0</v>
      </c>
      <c r="I34">
        <f>COUNTIF('SEGURIDAD I (FEB)'!$A$1:$A$81,Planilha1!F34)</f>
        <v>0</v>
      </c>
      <c r="J34">
        <f>COUNTIF('PUERTA (MAR, JUL, NOV)'!$A$1:$A$47,Planilha1!F34)</f>
        <v>0</v>
      </c>
      <c r="K34">
        <f>COUNTIF('COMANDO (ABR,OCT)'!$A$1:$A$87,Planilha1!F34)</f>
        <v>0</v>
      </c>
      <c r="L34">
        <f>COUNTIF('MAQUINARIA (JUN,DEC)'!$A$1:$A$52,Planilha1!F34)</f>
        <v>1</v>
      </c>
      <c r="M34">
        <f>COUNTIF('SEGURIDAD II (AGO)'!$A$1:$A$95,Planilha1!F34)</f>
        <v>0</v>
      </c>
      <c r="N34">
        <f t="shared" si="0"/>
        <v>1</v>
      </c>
    </row>
    <row r="35" spans="6:14">
      <c r="F35" s="9" t="s">
        <v>246</v>
      </c>
      <c r="G35" t="s">
        <v>339</v>
      </c>
      <c r="H35">
        <f>COUNTIF('LIMPIEZA (ENE,MAY,SEP)'!$A$2:$A$49,Planilha1!F35)</f>
        <v>0</v>
      </c>
      <c r="I35">
        <f>COUNTIF('SEGURIDAD I (FEB)'!$A$1:$A$81,Planilha1!F35)</f>
        <v>0</v>
      </c>
      <c r="J35">
        <f>COUNTIF('PUERTA (MAR, JUL, NOV)'!$A$1:$A$47,Planilha1!F35)</f>
        <v>0</v>
      </c>
      <c r="K35">
        <f>COUNTIF('COMANDO (ABR,OCT)'!$A$1:$A$87,Planilha1!F35)</f>
        <v>0</v>
      </c>
      <c r="L35">
        <f>COUNTIF('MAQUINARIA (JUN,DEC)'!$A$1:$A$52,Planilha1!F35)</f>
        <v>1</v>
      </c>
      <c r="M35">
        <f>COUNTIF('SEGURIDAD II (AGO)'!$A$1:$A$95,Planilha1!F35)</f>
        <v>0</v>
      </c>
      <c r="N35">
        <f t="shared" si="0"/>
        <v>1</v>
      </c>
    </row>
    <row r="36" spans="6:14">
      <c r="F36" s="8" t="s">
        <v>248</v>
      </c>
      <c r="G36" t="s">
        <v>340</v>
      </c>
      <c r="H36">
        <f>COUNTIF('LIMPIEZA (ENE,MAY,SEP)'!$A$2:$A$49,Planilha1!F36)</f>
        <v>0</v>
      </c>
      <c r="I36">
        <f>COUNTIF('SEGURIDAD I (FEB)'!$A$1:$A$81,Planilha1!F36)</f>
        <v>0</v>
      </c>
      <c r="J36">
        <f>COUNTIF('PUERTA (MAR, JUL, NOV)'!$A$1:$A$47,Planilha1!F36)</f>
        <v>0</v>
      </c>
      <c r="K36">
        <f>COUNTIF('COMANDO (ABR,OCT)'!$A$1:$A$87,Planilha1!F36)</f>
        <v>0</v>
      </c>
      <c r="L36">
        <f>COUNTIF('MAQUINARIA (JUN,DEC)'!$A$1:$A$52,Planilha1!F36)</f>
        <v>1</v>
      </c>
      <c r="M36">
        <f>COUNTIF('SEGURIDAD II (AGO)'!$A$1:$A$95,Planilha1!F36)</f>
        <v>0</v>
      </c>
      <c r="N36">
        <f t="shared" si="0"/>
        <v>1</v>
      </c>
    </row>
    <row r="37" spans="6:14">
      <c r="F37" s="8" t="s">
        <v>252</v>
      </c>
      <c r="G37" t="s">
        <v>341</v>
      </c>
      <c r="H37">
        <f>COUNTIF('LIMPIEZA (ENE,MAY,SEP)'!$A$2:$A$49,Planilha1!F37)</f>
        <v>0</v>
      </c>
      <c r="I37">
        <f>COUNTIF('SEGURIDAD I (FEB)'!$A$1:$A$81,Planilha1!F37)</f>
        <v>0</v>
      </c>
      <c r="J37">
        <f>COUNTIF('PUERTA (MAR, JUL, NOV)'!$A$1:$A$47,Planilha1!F37)</f>
        <v>0</v>
      </c>
      <c r="K37">
        <f>COUNTIF('COMANDO (ABR,OCT)'!$A$1:$A$87,Planilha1!F37)</f>
        <v>0</v>
      </c>
      <c r="L37">
        <f>COUNTIF('MAQUINARIA (JUN,DEC)'!$A$1:$A$52,Planilha1!F37)</f>
        <v>0</v>
      </c>
      <c r="M37">
        <f>COUNTIF('SEGURIDAD II (AGO)'!$A$1:$A$95,Planilha1!F37)</f>
        <v>0</v>
      </c>
      <c r="N37">
        <f t="shared" si="0"/>
        <v>0</v>
      </c>
    </row>
    <row r="38" spans="6:14">
      <c r="F38" s="8" t="s">
        <v>253</v>
      </c>
      <c r="G38" t="s">
        <v>342</v>
      </c>
      <c r="H38">
        <f>COUNTIF('LIMPIEZA (ENE,MAY,SEP)'!$A$2:$A$49,Planilha1!F38)</f>
        <v>0</v>
      </c>
      <c r="I38">
        <f>COUNTIF('SEGURIDAD I (FEB)'!$A$1:$A$81,Planilha1!F38)</f>
        <v>0</v>
      </c>
      <c r="J38">
        <f>COUNTIF('PUERTA (MAR, JUL, NOV)'!$A$1:$A$47,Planilha1!F38)</f>
        <v>0</v>
      </c>
      <c r="K38">
        <f>COUNTIF('COMANDO (ABR,OCT)'!$A$1:$A$87,Planilha1!F38)</f>
        <v>0</v>
      </c>
      <c r="L38">
        <f>COUNTIF('MAQUINARIA (JUN,DEC)'!$A$1:$A$52,Planilha1!F38)</f>
        <v>0</v>
      </c>
      <c r="M38">
        <f>COUNTIF('SEGURIDAD II (AGO)'!$A$1:$A$95,Planilha1!F38)</f>
        <v>0</v>
      </c>
      <c r="N38">
        <f t="shared" si="0"/>
        <v>0</v>
      </c>
    </row>
    <row r="39" spans="6:14">
      <c r="F39" s="9" t="s">
        <v>254</v>
      </c>
      <c r="G39" t="s">
        <v>343</v>
      </c>
      <c r="H39">
        <f>COUNTIF('LIMPIEZA (ENE,MAY,SEP)'!$A$2:$A$49,Planilha1!F39)</f>
        <v>0</v>
      </c>
      <c r="I39">
        <f>COUNTIF('SEGURIDAD I (FEB)'!$A$1:$A$81,Planilha1!F39)</f>
        <v>0</v>
      </c>
      <c r="J39">
        <f>COUNTIF('PUERTA (MAR, JUL, NOV)'!$A$1:$A$47,Planilha1!F39)</f>
        <v>0</v>
      </c>
      <c r="K39">
        <f>COUNTIF('COMANDO (ABR,OCT)'!$A$1:$A$87,Planilha1!F39)</f>
        <v>0</v>
      </c>
      <c r="L39">
        <f>COUNTIF('MAQUINARIA (JUN,DEC)'!$A$1:$A$52,Planilha1!F39)</f>
        <v>0</v>
      </c>
      <c r="M39">
        <f>COUNTIF('SEGURIDAD II (AGO)'!$A$1:$A$95,Planilha1!F39)</f>
        <v>0</v>
      </c>
      <c r="N39">
        <f t="shared" si="0"/>
        <v>0</v>
      </c>
    </row>
    <row r="40" spans="6:14">
      <c r="F40" s="9" t="s">
        <v>255</v>
      </c>
      <c r="G40" t="s">
        <v>344</v>
      </c>
      <c r="H40">
        <f>COUNTIF('LIMPIEZA (ENE,MAY,SEP)'!$A$2:$A$49,Planilha1!F40)</f>
        <v>0</v>
      </c>
      <c r="I40">
        <f>COUNTIF('SEGURIDAD I (FEB)'!$A$1:$A$81,Planilha1!F40)</f>
        <v>0</v>
      </c>
      <c r="J40">
        <f>COUNTIF('PUERTA (MAR, JUL, NOV)'!$A$1:$A$47,Planilha1!F40)</f>
        <v>0</v>
      </c>
      <c r="K40">
        <f>COUNTIF('COMANDO (ABR,OCT)'!$A$1:$A$87,Planilha1!F40)</f>
        <v>0</v>
      </c>
      <c r="L40">
        <f>COUNTIF('MAQUINARIA (JUN,DEC)'!$A$1:$A$52,Planilha1!F40)</f>
        <v>0</v>
      </c>
      <c r="M40">
        <f>COUNTIF('SEGURIDAD II (AGO)'!$A$1:$A$95,Planilha1!F40)</f>
        <v>0</v>
      </c>
      <c r="N40">
        <f t="shared" si="0"/>
        <v>0</v>
      </c>
    </row>
    <row r="41" spans="6:14">
      <c r="F41" s="8" t="s">
        <v>256</v>
      </c>
      <c r="G41" t="s">
        <v>345</v>
      </c>
      <c r="H41">
        <f>COUNTIF('LIMPIEZA (ENE,MAY,SEP)'!$A$2:$A$49,Planilha1!F41)</f>
        <v>0</v>
      </c>
      <c r="I41">
        <f>COUNTIF('SEGURIDAD I (FEB)'!$A$1:$A$81,Planilha1!F41)</f>
        <v>0</v>
      </c>
      <c r="J41">
        <f>COUNTIF('PUERTA (MAR, JUL, NOV)'!$A$1:$A$47,Planilha1!F41)</f>
        <v>0</v>
      </c>
      <c r="K41">
        <f>COUNTIF('COMANDO (ABR,OCT)'!$A$1:$A$87,Planilha1!F41)</f>
        <v>0</v>
      </c>
      <c r="L41">
        <f>COUNTIF('MAQUINARIA (JUN,DEC)'!$A$1:$A$52,Planilha1!F41)</f>
        <v>0</v>
      </c>
      <c r="M41">
        <f>COUNTIF('SEGURIDAD II (AGO)'!$A$1:$A$95,Planilha1!F41)</f>
        <v>0</v>
      </c>
      <c r="N41">
        <f t="shared" si="0"/>
        <v>0</v>
      </c>
    </row>
    <row r="42" spans="6:14">
      <c r="F42" s="9" t="s">
        <v>257</v>
      </c>
      <c r="G42" t="s">
        <v>346</v>
      </c>
      <c r="H42">
        <f>COUNTIF('LIMPIEZA (ENE,MAY,SEP)'!$A$2:$A$49,Planilha1!F42)</f>
        <v>0</v>
      </c>
      <c r="I42">
        <f>COUNTIF('SEGURIDAD I (FEB)'!$A$1:$A$81,Planilha1!F42)</f>
        <v>0</v>
      </c>
      <c r="J42">
        <f>COUNTIF('PUERTA (MAR, JUL, NOV)'!$A$1:$A$47,Planilha1!F42)</f>
        <v>0</v>
      </c>
      <c r="K42">
        <f>COUNTIF('COMANDO (ABR,OCT)'!$A$1:$A$87,Planilha1!F42)</f>
        <v>0</v>
      </c>
      <c r="L42">
        <f>COUNTIF('MAQUINARIA (JUN,DEC)'!$A$1:$A$52,Planilha1!F42)</f>
        <v>0</v>
      </c>
      <c r="M42">
        <f>COUNTIF('SEGURIDAD II (AGO)'!$A$1:$A$95,Planilha1!F42)</f>
        <v>0</v>
      </c>
      <c r="N42">
        <f t="shared" si="0"/>
        <v>0</v>
      </c>
    </row>
    <row r="43" spans="6:14">
      <c r="F43" s="9" t="s">
        <v>258</v>
      </c>
      <c r="G43" t="s">
        <v>347</v>
      </c>
      <c r="H43">
        <f>COUNTIF('LIMPIEZA (ENE,MAY,SEP)'!$A$2:$A$49,Planilha1!F43)</f>
        <v>0</v>
      </c>
      <c r="I43">
        <f>COUNTIF('SEGURIDAD I (FEB)'!$A$1:$A$81,Planilha1!F43)</f>
        <v>0</v>
      </c>
      <c r="J43">
        <f>COUNTIF('PUERTA (MAR, JUL, NOV)'!$A$1:$A$47,Planilha1!F43)</f>
        <v>0</v>
      </c>
      <c r="K43">
        <f>COUNTIF('COMANDO (ABR,OCT)'!$A$1:$A$87,Planilha1!F43)</f>
        <v>0</v>
      </c>
      <c r="L43">
        <f>COUNTIF('MAQUINARIA (JUN,DEC)'!$A$1:$A$52,Planilha1!F43)</f>
        <v>0</v>
      </c>
      <c r="M43">
        <f>COUNTIF('SEGURIDAD II (AGO)'!$A$1:$A$95,Planilha1!F43)</f>
        <v>0</v>
      </c>
      <c r="N43">
        <f t="shared" si="0"/>
        <v>0</v>
      </c>
    </row>
    <row r="44" spans="6:14">
      <c r="F44" s="9" t="s">
        <v>259</v>
      </c>
      <c r="G44" t="s">
        <v>348</v>
      </c>
      <c r="H44">
        <f>COUNTIF('LIMPIEZA (ENE,MAY,SEP)'!$A$2:$A$49,Planilha1!F44)</f>
        <v>0</v>
      </c>
      <c r="I44">
        <f>COUNTIF('SEGURIDAD I (FEB)'!$A$1:$A$81,Planilha1!F44)</f>
        <v>0</v>
      </c>
      <c r="J44">
        <f>COUNTIF('PUERTA (MAR, JUL, NOV)'!$A$1:$A$47,Planilha1!F44)</f>
        <v>0</v>
      </c>
      <c r="K44">
        <f>COUNTIF('COMANDO (ABR,OCT)'!$A$1:$A$87,Planilha1!F44)</f>
        <v>0</v>
      </c>
      <c r="L44">
        <f>COUNTIF('MAQUINARIA (JUN,DEC)'!$A$1:$A$52,Planilha1!F44)</f>
        <v>0</v>
      </c>
      <c r="M44">
        <f>COUNTIF('SEGURIDAD II (AGO)'!$A$1:$A$95,Planilha1!F44)</f>
        <v>0</v>
      </c>
      <c r="N44">
        <f t="shared" si="0"/>
        <v>0</v>
      </c>
    </row>
    <row r="45" spans="6:14">
      <c r="F45" s="8" t="s">
        <v>17</v>
      </c>
      <c r="G45" t="s">
        <v>349</v>
      </c>
      <c r="H45">
        <f>COUNTIF('LIMPIEZA (ENE,MAY,SEP)'!$A$2:$A$49,Planilha1!F45)</f>
        <v>1</v>
      </c>
      <c r="I45">
        <f>COUNTIF('SEGURIDAD I (FEB)'!$A$1:$A$81,Planilha1!F45)</f>
        <v>0</v>
      </c>
      <c r="J45">
        <f>COUNTIF('PUERTA (MAR, JUL, NOV)'!$A$1:$A$47,Planilha1!F45)</f>
        <v>0</v>
      </c>
      <c r="K45">
        <f>COUNTIF('COMANDO (ABR,OCT)'!$A$1:$A$87,Planilha1!F45)</f>
        <v>0</v>
      </c>
      <c r="L45">
        <f>COUNTIF('MAQUINARIA (JUN,DEC)'!$A$1:$A$52,Planilha1!F45)</f>
        <v>0</v>
      </c>
      <c r="M45">
        <f>COUNTIF('SEGURIDAD II (AGO)'!$A$1:$A$95,Planilha1!F45)</f>
        <v>0</v>
      </c>
      <c r="N45">
        <f t="shared" si="0"/>
        <v>1</v>
      </c>
    </row>
    <row r="46" spans="6:14">
      <c r="F46" s="9" t="s">
        <v>18</v>
      </c>
      <c r="G46" t="s">
        <v>350</v>
      </c>
      <c r="H46">
        <f>COUNTIF('LIMPIEZA (ENE,MAY,SEP)'!$A$2:$A$49,Planilha1!F46)</f>
        <v>0</v>
      </c>
      <c r="I46">
        <f>COUNTIF('SEGURIDAD I (FEB)'!$A$1:$A$81,Planilha1!F46)</f>
        <v>0</v>
      </c>
      <c r="J46">
        <f>COUNTIF('PUERTA (MAR, JUL, NOV)'!$A$1:$A$47,Planilha1!F46)</f>
        <v>0</v>
      </c>
      <c r="K46">
        <f>COUNTIF('COMANDO (ABR,OCT)'!$A$1:$A$87,Planilha1!F46)</f>
        <v>0</v>
      </c>
      <c r="L46">
        <f>COUNTIF('MAQUINARIA (JUN,DEC)'!$A$1:$A$52,Planilha1!F46)</f>
        <v>0</v>
      </c>
      <c r="M46">
        <f>COUNTIF('SEGURIDAD II (AGO)'!$A$1:$A$95,Planilha1!F46)</f>
        <v>0</v>
      </c>
      <c r="N46">
        <f t="shared" si="0"/>
        <v>0</v>
      </c>
    </row>
    <row r="47" spans="6:14">
      <c r="F47" s="9" t="s">
        <v>19</v>
      </c>
      <c r="G47" t="s">
        <v>351</v>
      </c>
      <c r="H47">
        <f>COUNTIF('LIMPIEZA (ENE,MAY,SEP)'!$A$2:$A$49,Planilha1!F47)</f>
        <v>1</v>
      </c>
      <c r="I47">
        <f>COUNTIF('SEGURIDAD I (FEB)'!$A$1:$A$81,Planilha1!F47)</f>
        <v>0</v>
      </c>
      <c r="J47">
        <f>COUNTIF('PUERTA (MAR, JUL, NOV)'!$A$1:$A$47,Planilha1!F47)</f>
        <v>0</v>
      </c>
      <c r="K47">
        <f>COUNTIF('COMANDO (ABR,OCT)'!$A$1:$A$87,Planilha1!F47)</f>
        <v>0</v>
      </c>
      <c r="L47">
        <f>COUNTIF('MAQUINARIA (JUN,DEC)'!$A$1:$A$52,Planilha1!F47)</f>
        <v>0</v>
      </c>
      <c r="M47">
        <f>COUNTIF('SEGURIDAD II (AGO)'!$A$1:$A$95,Planilha1!F47)</f>
        <v>0</v>
      </c>
      <c r="N47">
        <f t="shared" si="0"/>
        <v>1</v>
      </c>
    </row>
    <row r="48" spans="6:14">
      <c r="F48" s="8" t="s">
        <v>278</v>
      </c>
      <c r="G48" t="s">
        <v>352</v>
      </c>
      <c r="H48">
        <f>COUNTIF('LIMPIEZA (ENE,MAY,SEP)'!$A$2:$A$49,Planilha1!F48)</f>
        <v>0</v>
      </c>
      <c r="I48">
        <f>COUNTIF('SEGURIDAD I (FEB)'!$A$1:$A$81,Planilha1!F48)</f>
        <v>0</v>
      </c>
      <c r="J48">
        <f>COUNTIF('PUERTA (MAR, JUL, NOV)'!$A$1:$A$47,Planilha1!F48)</f>
        <v>0</v>
      </c>
      <c r="K48">
        <f>COUNTIF('COMANDO (ABR,OCT)'!$A$1:$A$87,Planilha1!F48)</f>
        <v>0</v>
      </c>
      <c r="L48">
        <f>COUNTIF('MAQUINARIA (JUN,DEC)'!$A$1:$A$52,Planilha1!F48)</f>
        <v>0</v>
      </c>
      <c r="M48">
        <f>COUNTIF('SEGURIDAD II (AGO)'!$A$1:$A$95,Planilha1!F48)</f>
        <v>1</v>
      </c>
      <c r="N48">
        <f t="shared" si="0"/>
        <v>1</v>
      </c>
    </row>
    <row r="49" spans="6:14">
      <c r="F49" s="9" t="s">
        <v>280</v>
      </c>
      <c r="G49" t="s">
        <v>353</v>
      </c>
      <c r="H49">
        <f>COUNTIF('LIMPIEZA (ENE,MAY,SEP)'!$A$2:$A$49,Planilha1!F49)</f>
        <v>0</v>
      </c>
      <c r="I49">
        <f>COUNTIF('SEGURIDAD I (FEB)'!$A$1:$A$81,Planilha1!F49)</f>
        <v>0</v>
      </c>
      <c r="J49">
        <f>COUNTIF('PUERTA (MAR, JUL, NOV)'!$A$1:$A$47,Planilha1!F49)</f>
        <v>0</v>
      </c>
      <c r="K49">
        <f>COUNTIF('COMANDO (ABR,OCT)'!$A$1:$A$87,Planilha1!F49)</f>
        <v>0</v>
      </c>
      <c r="L49">
        <f>COUNTIF('MAQUINARIA (JUN,DEC)'!$A$1:$A$52,Planilha1!F49)</f>
        <v>0</v>
      </c>
      <c r="M49">
        <f>COUNTIF('SEGURIDAD II (AGO)'!$A$1:$A$95,Planilha1!F49)</f>
        <v>1</v>
      </c>
      <c r="N49">
        <f t="shared" si="0"/>
        <v>1</v>
      </c>
    </row>
    <row r="50" spans="6:14">
      <c r="F50" s="9" t="s">
        <v>281</v>
      </c>
      <c r="G50" t="s">
        <v>354</v>
      </c>
      <c r="H50">
        <f>COUNTIF('LIMPIEZA (ENE,MAY,SEP)'!$A$2:$A$49,Planilha1!F50)</f>
        <v>0</v>
      </c>
      <c r="I50">
        <f>COUNTIF('SEGURIDAD I (FEB)'!$A$1:$A$81,Planilha1!F50)</f>
        <v>0</v>
      </c>
      <c r="J50">
        <f>COUNTIF('PUERTA (MAR, JUL, NOV)'!$A$1:$A$47,Planilha1!F50)</f>
        <v>0</v>
      </c>
      <c r="K50">
        <f>COUNTIF('COMANDO (ABR,OCT)'!$A$1:$A$87,Planilha1!F50)</f>
        <v>0</v>
      </c>
      <c r="L50">
        <f>COUNTIF('MAQUINARIA (JUN,DEC)'!$A$1:$A$52,Planilha1!F50)</f>
        <v>0</v>
      </c>
      <c r="M50">
        <f>COUNTIF('SEGURIDAD II (AGO)'!$A$1:$A$95,Planilha1!F50)</f>
        <v>1</v>
      </c>
      <c r="N50">
        <f t="shared" si="0"/>
        <v>1</v>
      </c>
    </row>
    <row r="51" spans="6:14">
      <c r="F51" s="9" t="s">
        <v>283</v>
      </c>
      <c r="G51" t="s">
        <v>355</v>
      </c>
      <c r="H51">
        <f>COUNTIF('LIMPIEZA (ENE,MAY,SEP)'!$A$2:$A$49,Planilha1!F51)</f>
        <v>0</v>
      </c>
      <c r="I51">
        <f>COUNTIF('SEGURIDAD I (FEB)'!$A$1:$A$81,Planilha1!F51)</f>
        <v>0</v>
      </c>
      <c r="J51">
        <f>COUNTIF('PUERTA (MAR, JUL, NOV)'!$A$1:$A$47,Planilha1!F51)</f>
        <v>0</v>
      </c>
      <c r="K51">
        <f>COUNTIF('COMANDO (ABR,OCT)'!$A$1:$A$87,Planilha1!F51)</f>
        <v>0</v>
      </c>
      <c r="L51">
        <f>COUNTIF('MAQUINARIA (JUN,DEC)'!$A$1:$A$52,Planilha1!F51)</f>
        <v>0</v>
      </c>
      <c r="M51">
        <f>COUNTIF('SEGURIDAD II (AGO)'!$A$1:$A$95,Planilha1!F51)</f>
        <v>1</v>
      </c>
      <c r="N51">
        <f t="shared" si="0"/>
        <v>1</v>
      </c>
    </row>
    <row r="52" spans="6:14">
      <c r="F52" s="9" t="s">
        <v>285</v>
      </c>
      <c r="G52" t="s">
        <v>356</v>
      </c>
      <c r="H52">
        <f>COUNTIF('LIMPIEZA (ENE,MAY,SEP)'!$A$2:$A$49,Planilha1!F52)</f>
        <v>0</v>
      </c>
      <c r="I52">
        <f>COUNTIF('SEGURIDAD I (FEB)'!$A$1:$A$81,Planilha1!F52)</f>
        <v>0</v>
      </c>
      <c r="J52">
        <f>COUNTIF('PUERTA (MAR, JUL, NOV)'!$A$1:$A$47,Planilha1!F52)</f>
        <v>0</v>
      </c>
      <c r="K52">
        <f>COUNTIF('COMANDO (ABR,OCT)'!$A$1:$A$87,Planilha1!F52)</f>
        <v>0</v>
      </c>
      <c r="L52">
        <f>COUNTIF('MAQUINARIA (JUN,DEC)'!$A$1:$A$52,Planilha1!F52)</f>
        <v>0</v>
      </c>
      <c r="M52">
        <f>COUNTIF('SEGURIDAD II (AGO)'!$A$1:$A$95,Planilha1!F52)</f>
        <v>1</v>
      </c>
      <c r="N52">
        <f t="shared" si="0"/>
        <v>1</v>
      </c>
    </row>
    <row r="53" spans="6:14">
      <c r="F53" s="9" t="s">
        <v>288</v>
      </c>
      <c r="G53" t="s">
        <v>357</v>
      </c>
      <c r="H53">
        <f>COUNTIF('LIMPIEZA (ENE,MAY,SEP)'!$A$2:$A$49,Planilha1!F53)</f>
        <v>0</v>
      </c>
      <c r="I53">
        <f>COUNTIF('SEGURIDAD I (FEB)'!$A$1:$A$81,Planilha1!F53)</f>
        <v>0</v>
      </c>
      <c r="J53">
        <f>COUNTIF('PUERTA (MAR, JUL, NOV)'!$A$1:$A$47,Planilha1!F53)</f>
        <v>0</v>
      </c>
      <c r="K53">
        <f>COUNTIF('COMANDO (ABR,OCT)'!$A$1:$A$87,Planilha1!F53)</f>
        <v>0</v>
      </c>
      <c r="L53">
        <f>COUNTIF('MAQUINARIA (JUN,DEC)'!$A$1:$A$52,Planilha1!F53)</f>
        <v>0</v>
      </c>
      <c r="M53">
        <f>COUNTIF('SEGURIDAD II (AGO)'!$A$1:$A$95,Planilha1!F53)</f>
        <v>1</v>
      </c>
      <c r="N53">
        <f t="shared" si="0"/>
        <v>1</v>
      </c>
    </row>
    <row r="54" spans="6:14">
      <c r="F54" s="9" t="s">
        <v>290</v>
      </c>
      <c r="G54" t="s">
        <v>358</v>
      </c>
      <c r="H54">
        <f>COUNTIF('LIMPIEZA (ENE,MAY,SEP)'!$A$2:$A$49,Planilha1!F54)</f>
        <v>0</v>
      </c>
      <c r="I54">
        <f>COUNTIF('SEGURIDAD I (FEB)'!$A$1:$A$81,Planilha1!F54)</f>
        <v>0</v>
      </c>
      <c r="J54">
        <f>COUNTIF('PUERTA (MAR, JUL, NOV)'!$A$1:$A$47,Planilha1!F54)</f>
        <v>0</v>
      </c>
      <c r="K54">
        <f>COUNTIF('COMANDO (ABR,OCT)'!$A$1:$A$87,Planilha1!F54)</f>
        <v>0</v>
      </c>
      <c r="L54">
        <f>COUNTIF('MAQUINARIA (JUN,DEC)'!$A$1:$A$52,Planilha1!F54)</f>
        <v>0</v>
      </c>
      <c r="M54">
        <f>COUNTIF('SEGURIDAD II (AGO)'!$A$1:$A$95,Planilha1!F54)</f>
        <v>1</v>
      </c>
      <c r="N54">
        <f t="shared" si="0"/>
        <v>1</v>
      </c>
    </row>
    <row r="55" spans="6:14">
      <c r="F55" s="2" t="s">
        <v>196</v>
      </c>
      <c r="G55" t="s">
        <v>359</v>
      </c>
      <c r="H55">
        <f>COUNTIF('LIMPIEZA (ENE,MAY,SEP)'!$A$2:$A$49,Planilha1!F55)</f>
        <v>0</v>
      </c>
      <c r="I55">
        <f>COUNTIF('SEGURIDAD I (FEB)'!$A$1:$A$81,Planilha1!F55)</f>
        <v>0</v>
      </c>
      <c r="J55">
        <f>COUNTIF('PUERTA (MAR, JUL, NOV)'!$A$1:$A$47,Planilha1!F55)</f>
        <v>0</v>
      </c>
      <c r="K55">
        <f>COUNTIF('COMANDO (ABR,OCT)'!$A$1:$A$87,Planilha1!F55)</f>
        <v>1</v>
      </c>
      <c r="L55">
        <f>COUNTIF('MAQUINARIA (JUN,DEC)'!$A$1:$A$52,Planilha1!F55)</f>
        <v>0</v>
      </c>
      <c r="M55">
        <f>COUNTIF('SEGURIDAD II (AGO)'!$A$1:$A$95,Planilha1!F55)</f>
        <v>0</v>
      </c>
      <c r="N55">
        <f t="shared" si="0"/>
        <v>1</v>
      </c>
    </row>
    <row r="56" spans="6:14">
      <c r="F56" s="2" t="s">
        <v>198</v>
      </c>
      <c r="G56" t="s">
        <v>360</v>
      </c>
      <c r="H56">
        <f>COUNTIF('LIMPIEZA (ENE,MAY,SEP)'!$A$2:$A$49,Planilha1!F56)</f>
        <v>0</v>
      </c>
      <c r="I56">
        <f>COUNTIF('SEGURIDAD I (FEB)'!$A$1:$A$81,Planilha1!F56)</f>
        <v>0</v>
      </c>
      <c r="J56">
        <f>COUNTIF('PUERTA (MAR, JUL, NOV)'!$A$1:$A$47,Planilha1!F56)</f>
        <v>0</v>
      </c>
      <c r="K56">
        <f>COUNTIF('COMANDO (ABR,OCT)'!$A$1:$A$87,Planilha1!F56)</f>
        <v>1</v>
      </c>
      <c r="L56">
        <f>COUNTIF('MAQUINARIA (JUN,DEC)'!$A$1:$A$52,Planilha1!F56)</f>
        <v>0</v>
      </c>
      <c r="M56">
        <f>COUNTIF('SEGURIDAD II (AGO)'!$A$1:$A$95,Planilha1!F56)</f>
        <v>0</v>
      </c>
      <c r="N56">
        <f t="shared" si="0"/>
        <v>1</v>
      </c>
    </row>
    <row r="57" spans="6:14">
      <c r="F57" s="8" t="s">
        <v>200</v>
      </c>
      <c r="G57" t="s">
        <v>361</v>
      </c>
      <c r="H57">
        <f>COUNTIF('LIMPIEZA (ENE,MAY,SEP)'!$A$2:$A$49,Planilha1!F57)</f>
        <v>0</v>
      </c>
      <c r="I57">
        <f>COUNTIF('SEGURIDAD I (FEB)'!$A$1:$A$81,Planilha1!F57)</f>
        <v>0</v>
      </c>
      <c r="J57">
        <f>COUNTIF('PUERTA (MAR, JUL, NOV)'!$A$1:$A$47,Planilha1!F57)</f>
        <v>0</v>
      </c>
      <c r="K57">
        <f>COUNTIF('COMANDO (ABR,OCT)'!$A$1:$A$87,Planilha1!F57)</f>
        <v>1</v>
      </c>
      <c r="L57">
        <f>COUNTIF('MAQUINARIA (JUN,DEC)'!$A$1:$A$52,Planilha1!F57)</f>
        <v>0</v>
      </c>
      <c r="M57">
        <f>COUNTIF('SEGURIDAD II (AGO)'!$A$1:$A$95,Planilha1!F57)</f>
        <v>0</v>
      </c>
      <c r="N57">
        <f t="shared" si="0"/>
        <v>1</v>
      </c>
    </row>
    <row r="58" spans="6:14">
      <c r="F58" s="2" t="s">
        <v>205</v>
      </c>
      <c r="G58" t="s">
        <v>362</v>
      </c>
      <c r="H58">
        <f>COUNTIF('LIMPIEZA (ENE,MAY,SEP)'!$A$2:$A$49,Planilha1!F58)</f>
        <v>0</v>
      </c>
      <c r="I58">
        <f>COUNTIF('SEGURIDAD I (FEB)'!$A$1:$A$81,Planilha1!F58)</f>
        <v>0</v>
      </c>
      <c r="J58">
        <f>COUNTIF('PUERTA (MAR, JUL, NOV)'!$A$1:$A$47,Planilha1!F58)</f>
        <v>0</v>
      </c>
      <c r="K58">
        <f>COUNTIF('COMANDO (ABR,OCT)'!$A$1:$A$87,Planilha1!F58)</f>
        <v>1</v>
      </c>
      <c r="L58">
        <f>COUNTIF('MAQUINARIA (JUN,DEC)'!$A$1:$A$52,Planilha1!F58)</f>
        <v>0</v>
      </c>
      <c r="M58">
        <f>COUNTIF('SEGURIDAD II (AGO)'!$A$1:$A$95,Planilha1!F58)</f>
        <v>0</v>
      </c>
      <c r="N58">
        <f t="shared" si="0"/>
        <v>1</v>
      </c>
    </row>
    <row r="59" spans="6:14">
      <c r="F59" s="2" t="s">
        <v>207</v>
      </c>
      <c r="G59" t="s">
        <v>363</v>
      </c>
      <c r="H59">
        <f>COUNTIF('LIMPIEZA (ENE,MAY,SEP)'!$A$2:$A$49,Planilha1!F59)</f>
        <v>0</v>
      </c>
      <c r="I59">
        <f>COUNTIF('SEGURIDAD I (FEB)'!$A$1:$A$81,Planilha1!F59)</f>
        <v>0</v>
      </c>
      <c r="J59">
        <f>COUNTIF('PUERTA (MAR, JUL, NOV)'!$A$1:$A$47,Planilha1!F59)</f>
        <v>0</v>
      </c>
      <c r="K59">
        <f>COUNTIF('COMANDO (ABR,OCT)'!$A$1:$A$87,Planilha1!F59)</f>
        <v>1</v>
      </c>
      <c r="L59">
        <f>COUNTIF('MAQUINARIA (JUN,DEC)'!$A$1:$A$52,Planilha1!F59)</f>
        <v>0</v>
      </c>
      <c r="M59">
        <f>COUNTIF('SEGURIDAD II (AGO)'!$A$1:$A$95,Planilha1!F59)</f>
        <v>0</v>
      </c>
      <c r="N59">
        <f t="shared" si="0"/>
        <v>1</v>
      </c>
    </row>
    <row r="60" spans="6:14">
      <c r="F60" s="2" t="s">
        <v>209</v>
      </c>
      <c r="G60" t="s">
        <v>364</v>
      </c>
      <c r="H60">
        <f>COUNTIF('LIMPIEZA (ENE,MAY,SEP)'!$A$2:$A$49,Planilha1!F60)</f>
        <v>0</v>
      </c>
      <c r="I60">
        <f>COUNTIF('SEGURIDAD I (FEB)'!$A$1:$A$81,Planilha1!F60)</f>
        <v>0</v>
      </c>
      <c r="J60">
        <f>COUNTIF('PUERTA (MAR, JUL, NOV)'!$A$1:$A$47,Planilha1!F60)</f>
        <v>0</v>
      </c>
      <c r="K60">
        <f>COUNTIF('COMANDO (ABR,OCT)'!$A$1:$A$87,Planilha1!F60)</f>
        <v>1</v>
      </c>
      <c r="L60">
        <f>COUNTIF('MAQUINARIA (JUN,DEC)'!$A$1:$A$52,Planilha1!F60)</f>
        <v>0</v>
      </c>
      <c r="M60">
        <f>COUNTIF('SEGURIDAD II (AGO)'!$A$1:$A$95,Planilha1!F60)</f>
        <v>0</v>
      </c>
      <c r="N60">
        <f t="shared" si="0"/>
        <v>1</v>
      </c>
    </row>
    <row r="61" spans="6:14">
      <c r="F61" s="8" t="s">
        <v>211</v>
      </c>
      <c r="G61" t="s">
        <v>365</v>
      </c>
      <c r="H61">
        <f>COUNTIF('LIMPIEZA (ENE,MAY,SEP)'!$A$2:$A$49,Planilha1!F61)</f>
        <v>0</v>
      </c>
      <c r="I61">
        <f>COUNTIF('SEGURIDAD I (FEB)'!$A$1:$A$81,Planilha1!F61)</f>
        <v>0</v>
      </c>
      <c r="J61">
        <f>COUNTIF('PUERTA (MAR, JUL, NOV)'!$A$1:$A$47,Planilha1!F61)</f>
        <v>0</v>
      </c>
      <c r="K61">
        <f>COUNTIF('COMANDO (ABR,OCT)'!$A$1:$A$87,Planilha1!F61)</f>
        <v>0</v>
      </c>
      <c r="L61">
        <f>COUNTIF('MAQUINARIA (JUN,DEC)'!$A$1:$A$52,Planilha1!F61)</f>
        <v>0</v>
      </c>
      <c r="M61">
        <f>COUNTIF('SEGURIDAD II (AGO)'!$A$1:$A$95,Planilha1!F61)</f>
        <v>0</v>
      </c>
      <c r="N61">
        <f t="shared" si="0"/>
        <v>0</v>
      </c>
    </row>
    <row r="62" spans="6:14">
      <c r="F62" s="2" t="s">
        <v>212</v>
      </c>
      <c r="G62" t="s">
        <v>366</v>
      </c>
      <c r="H62">
        <f>COUNTIF('LIMPIEZA (ENE,MAY,SEP)'!$A$2:$A$49,Planilha1!F62)</f>
        <v>0</v>
      </c>
      <c r="I62">
        <f>COUNTIF('SEGURIDAD I (FEB)'!$A$1:$A$81,Planilha1!F62)</f>
        <v>0</v>
      </c>
      <c r="J62">
        <f>COUNTIF('PUERTA (MAR, JUL, NOV)'!$A$1:$A$47,Planilha1!F62)</f>
        <v>0</v>
      </c>
      <c r="K62">
        <f>COUNTIF('COMANDO (ABR,OCT)'!$A$1:$A$87,Planilha1!F62)</f>
        <v>1</v>
      </c>
      <c r="L62">
        <f>COUNTIF('MAQUINARIA (JUN,DEC)'!$A$1:$A$52,Planilha1!F62)</f>
        <v>0</v>
      </c>
      <c r="M62">
        <f>COUNTIF('SEGURIDAD II (AGO)'!$A$1:$A$95,Planilha1!F62)</f>
        <v>0</v>
      </c>
      <c r="N62">
        <f t="shared" si="0"/>
        <v>1</v>
      </c>
    </row>
    <row r="63" spans="6:14">
      <c r="F63" s="2" t="s">
        <v>213</v>
      </c>
      <c r="G63" t="s">
        <v>367</v>
      </c>
      <c r="H63">
        <f>COUNTIF('LIMPIEZA (ENE,MAY,SEP)'!$A$2:$A$49,Planilha1!F63)</f>
        <v>0</v>
      </c>
      <c r="I63">
        <f>COUNTIF('SEGURIDAD I (FEB)'!$A$1:$A$81,Planilha1!F63)</f>
        <v>0</v>
      </c>
      <c r="J63">
        <f>COUNTIF('PUERTA (MAR, JUL, NOV)'!$A$1:$A$47,Planilha1!F63)</f>
        <v>0</v>
      </c>
      <c r="K63">
        <f>COUNTIF('COMANDO (ABR,OCT)'!$A$1:$A$87,Planilha1!F63)</f>
        <v>1</v>
      </c>
      <c r="L63">
        <f>COUNTIF('MAQUINARIA (JUN,DEC)'!$A$1:$A$52,Planilha1!F63)</f>
        <v>0</v>
      </c>
      <c r="M63">
        <f>COUNTIF('SEGURIDAD II (AGO)'!$A$1:$A$95,Planilha1!F63)</f>
        <v>0</v>
      </c>
      <c r="N63">
        <f t="shared" si="0"/>
        <v>1</v>
      </c>
    </row>
    <row r="64" spans="6:14">
      <c r="F64" s="2" t="s">
        <v>216</v>
      </c>
      <c r="G64" t="s">
        <v>368</v>
      </c>
      <c r="H64">
        <f>COUNTIF('LIMPIEZA (ENE,MAY,SEP)'!$A$2:$A$49,Planilha1!F64)</f>
        <v>0</v>
      </c>
      <c r="I64">
        <f>COUNTIF('SEGURIDAD I (FEB)'!$A$1:$A$81,Planilha1!F64)</f>
        <v>0</v>
      </c>
      <c r="J64">
        <f>COUNTIF('PUERTA (MAR, JUL, NOV)'!$A$1:$A$47,Planilha1!F64)</f>
        <v>0</v>
      </c>
      <c r="K64">
        <f>COUNTIF('COMANDO (ABR,OCT)'!$A$1:$A$87,Planilha1!F64)</f>
        <v>1</v>
      </c>
      <c r="L64">
        <f>COUNTIF('MAQUINARIA (JUN,DEC)'!$A$1:$A$52,Planilha1!F64)</f>
        <v>0</v>
      </c>
      <c r="M64">
        <f>COUNTIF('SEGURIDAD II (AGO)'!$A$1:$A$95,Planilha1!F64)</f>
        <v>0</v>
      </c>
      <c r="N64">
        <f t="shared" si="0"/>
        <v>1</v>
      </c>
    </row>
    <row r="65" spans="6:14">
      <c r="F65" s="2" t="s">
        <v>218</v>
      </c>
      <c r="G65" t="s">
        <v>369</v>
      </c>
      <c r="H65">
        <f>COUNTIF('LIMPIEZA (ENE,MAY,SEP)'!$A$2:$A$49,Planilha1!F65)</f>
        <v>0</v>
      </c>
      <c r="I65">
        <f>COUNTIF('SEGURIDAD I (FEB)'!$A$1:$A$81,Planilha1!F65)</f>
        <v>0</v>
      </c>
      <c r="J65">
        <f>COUNTIF('PUERTA (MAR, JUL, NOV)'!$A$1:$A$47,Planilha1!F65)</f>
        <v>0</v>
      </c>
      <c r="K65">
        <f>COUNTIF('COMANDO (ABR,OCT)'!$A$1:$A$87,Planilha1!F65)</f>
        <v>1</v>
      </c>
      <c r="L65">
        <f>COUNTIF('MAQUINARIA (JUN,DEC)'!$A$1:$A$52,Planilha1!F65)</f>
        <v>0</v>
      </c>
      <c r="M65">
        <f>COUNTIF('SEGURIDAD II (AGO)'!$A$1:$A$95,Planilha1!F65)</f>
        <v>0</v>
      </c>
      <c r="N65">
        <f t="shared" si="0"/>
        <v>1</v>
      </c>
    </row>
    <row r="66" spans="6:14">
      <c r="F66" s="2" t="s">
        <v>223</v>
      </c>
      <c r="G66" t="s">
        <v>370</v>
      </c>
      <c r="H66">
        <f>COUNTIF('LIMPIEZA (ENE,MAY,SEP)'!$A$2:$A$49,Planilha1!F66)</f>
        <v>0</v>
      </c>
      <c r="I66">
        <f>COUNTIF('SEGURIDAD I (FEB)'!$A$1:$A$81,Planilha1!F66)</f>
        <v>0</v>
      </c>
      <c r="J66">
        <f>COUNTIF('PUERTA (MAR, JUL, NOV)'!$A$1:$A$47,Planilha1!F66)</f>
        <v>0</v>
      </c>
      <c r="K66">
        <f>COUNTIF('COMANDO (ABR,OCT)'!$A$1:$A$87,Planilha1!F66)</f>
        <v>1</v>
      </c>
      <c r="L66">
        <f>COUNTIF('MAQUINARIA (JUN,DEC)'!$A$1:$A$52,Planilha1!F66)</f>
        <v>0</v>
      </c>
      <c r="M66">
        <f>COUNTIF('SEGURIDAD II (AGO)'!$A$1:$A$95,Planilha1!F66)</f>
        <v>0</v>
      </c>
      <c r="N66">
        <f t="shared" si="0"/>
        <v>1</v>
      </c>
    </row>
    <row r="67" spans="6:14">
      <c r="F67" s="2" t="s">
        <v>225</v>
      </c>
      <c r="G67" t="s">
        <v>371</v>
      </c>
      <c r="H67">
        <f>COUNTIF('LIMPIEZA (ENE,MAY,SEP)'!$A$2:$A$49,Planilha1!F67)</f>
        <v>0</v>
      </c>
      <c r="I67">
        <f>COUNTIF('SEGURIDAD I (FEB)'!$A$1:$A$81,Planilha1!F67)</f>
        <v>0</v>
      </c>
      <c r="J67">
        <f>COUNTIF('PUERTA (MAR, JUL, NOV)'!$A$1:$A$47,Planilha1!F67)</f>
        <v>0</v>
      </c>
      <c r="K67">
        <f>COUNTIF('COMANDO (ABR,OCT)'!$A$1:$A$87,Planilha1!F67)</f>
        <v>1</v>
      </c>
      <c r="L67">
        <f>COUNTIF('MAQUINARIA (JUN,DEC)'!$A$1:$A$52,Planilha1!F67)</f>
        <v>0</v>
      </c>
      <c r="M67">
        <f>COUNTIF('SEGURIDAD II (AGO)'!$A$1:$A$95,Planilha1!F67)</f>
        <v>0</v>
      </c>
      <c r="N67">
        <f t="shared" si="0"/>
        <v>1</v>
      </c>
    </row>
    <row r="68" spans="6:14">
      <c r="F68" s="2" t="s">
        <v>54</v>
      </c>
      <c r="G68" t="s">
        <v>372</v>
      </c>
      <c r="H68">
        <f>COUNTIF('LIMPIEZA (ENE,MAY,SEP)'!$A$2:$A$49,Planilha1!F68)</f>
        <v>0</v>
      </c>
      <c r="I68">
        <f>COUNTIF('SEGURIDAD I (FEB)'!$A$1:$A$81,Planilha1!F68)</f>
        <v>0</v>
      </c>
      <c r="J68">
        <f>COUNTIF('PUERTA (MAR, JUL, NOV)'!$A$1:$A$47,Planilha1!F68)</f>
        <v>0</v>
      </c>
      <c r="K68">
        <f>COUNTIF('COMANDO (ABR,OCT)'!$A$1:$A$87,Planilha1!F68)</f>
        <v>0</v>
      </c>
      <c r="L68">
        <f>COUNTIF('MAQUINARIA (JUN,DEC)'!$A$1:$A$52,Planilha1!F68)</f>
        <v>0</v>
      </c>
      <c r="M68">
        <f>COUNTIF('SEGURIDAD II (AGO)'!$A$1:$A$95,Planilha1!F68)</f>
        <v>0</v>
      </c>
      <c r="N68">
        <f t="shared" si="0"/>
        <v>0</v>
      </c>
    </row>
    <row r="69" spans="6:14">
      <c r="F69" s="2" t="s">
        <v>55</v>
      </c>
      <c r="G69" t="s">
        <v>373</v>
      </c>
      <c r="H69">
        <f>COUNTIF('LIMPIEZA (ENE,MAY,SEP)'!$A$2:$A$49,Planilha1!F69)</f>
        <v>0</v>
      </c>
      <c r="I69">
        <f>COUNTIF('SEGURIDAD I (FEB)'!$A$1:$A$81,Planilha1!F69)</f>
        <v>0</v>
      </c>
      <c r="J69">
        <f>COUNTIF('PUERTA (MAR, JUL, NOV)'!$A$1:$A$47,Planilha1!F69)</f>
        <v>0</v>
      </c>
      <c r="K69">
        <f>COUNTIF('COMANDO (ABR,OCT)'!$A$1:$A$87,Planilha1!F69)</f>
        <v>0</v>
      </c>
      <c r="L69">
        <f>COUNTIF('MAQUINARIA (JUN,DEC)'!$A$1:$A$52,Planilha1!F69)</f>
        <v>0</v>
      </c>
      <c r="M69">
        <f>COUNTIF('SEGURIDAD II (AGO)'!$A$1:$A$95,Planilha1!F69)</f>
        <v>0</v>
      </c>
      <c r="N69">
        <f t="shared" ref="N69:N132" si="1">SUM(H69:M69)</f>
        <v>0</v>
      </c>
    </row>
    <row r="70" spans="6:14">
      <c r="F70" s="9" t="s">
        <v>56</v>
      </c>
      <c r="G70" t="s">
        <v>374</v>
      </c>
      <c r="H70">
        <f>COUNTIF('LIMPIEZA (ENE,MAY,SEP)'!$A$2:$A$49,Planilha1!F70)</f>
        <v>0</v>
      </c>
      <c r="I70">
        <f>COUNTIF('SEGURIDAD I (FEB)'!$A$1:$A$81,Planilha1!F70)</f>
        <v>1</v>
      </c>
      <c r="J70">
        <f>COUNTIF('PUERTA (MAR, JUL, NOV)'!$A$1:$A$47,Planilha1!F70)</f>
        <v>0</v>
      </c>
      <c r="K70">
        <f>COUNTIF('COMANDO (ABR,OCT)'!$A$1:$A$87,Planilha1!F70)</f>
        <v>0</v>
      </c>
      <c r="L70">
        <f>COUNTIF('MAQUINARIA (JUN,DEC)'!$A$1:$A$52,Planilha1!F70)</f>
        <v>0</v>
      </c>
      <c r="M70">
        <f>COUNTIF('SEGURIDAD II (AGO)'!$A$1:$A$95,Planilha1!F70)</f>
        <v>0</v>
      </c>
      <c r="N70">
        <f t="shared" si="1"/>
        <v>1</v>
      </c>
    </row>
    <row r="71" spans="6:14">
      <c r="F71" s="9" t="s">
        <v>292</v>
      </c>
      <c r="G71" t="s">
        <v>375</v>
      </c>
      <c r="H71">
        <f>COUNTIF('LIMPIEZA (ENE,MAY,SEP)'!$A$2:$A$49,Planilha1!F71)</f>
        <v>0</v>
      </c>
      <c r="I71">
        <f>COUNTIF('SEGURIDAD I (FEB)'!$A$1:$A$81,Planilha1!F71)</f>
        <v>0</v>
      </c>
      <c r="J71">
        <f>COUNTIF('PUERTA (MAR, JUL, NOV)'!$A$1:$A$47,Planilha1!F71)</f>
        <v>0</v>
      </c>
      <c r="K71">
        <f>COUNTIF('COMANDO (ABR,OCT)'!$A$1:$A$87,Planilha1!F71)</f>
        <v>0</v>
      </c>
      <c r="L71">
        <f>COUNTIF('MAQUINARIA (JUN,DEC)'!$A$1:$A$52,Planilha1!F71)</f>
        <v>0</v>
      </c>
      <c r="M71">
        <f>COUNTIF('SEGURIDAD II (AGO)'!$A$1:$A$95,Planilha1!F71)</f>
        <v>1</v>
      </c>
      <c r="N71">
        <f t="shared" si="1"/>
        <v>1</v>
      </c>
    </row>
    <row r="72" spans="6:14">
      <c r="F72" s="9" t="s">
        <v>123</v>
      </c>
      <c r="G72" t="s">
        <v>376</v>
      </c>
      <c r="H72">
        <f>COUNTIF('LIMPIEZA (ENE,MAY,SEP)'!$A$2:$A$49,Planilha1!F72)</f>
        <v>0</v>
      </c>
      <c r="I72">
        <f>COUNTIF('SEGURIDAD I (FEB)'!$A$1:$A$81,Planilha1!F72)</f>
        <v>0</v>
      </c>
      <c r="J72">
        <f>COUNTIF('PUERTA (MAR, JUL, NOV)'!$A$1:$A$47,Planilha1!F72)</f>
        <v>0</v>
      </c>
      <c r="K72">
        <f>COUNTIF('COMANDO (ABR,OCT)'!$A$1:$A$87,Planilha1!F72)</f>
        <v>0</v>
      </c>
      <c r="L72">
        <f>COUNTIF('MAQUINARIA (JUN,DEC)'!$A$1:$A$52,Planilha1!F72)</f>
        <v>0</v>
      </c>
      <c r="M72">
        <f>COUNTIF('SEGURIDAD II (AGO)'!$A$1:$A$95,Planilha1!F72)</f>
        <v>0</v>
      </c>
      <c r="N72">
        <f t="shared" si="1"/>
        <v>0</v>
      </c>
    </row>
    <row r="73" spans="6:14">
      <c r="F73" s="9" t="s">
        <v>124</v>
      </c>
      <c r="G73" t="s">
        <v>377</v>
      </c>
      <c r="H73">
        <f>COUNTIF('LIMPIEZA (ENE,MAY,SEP)'!$A$2:$A$49,Planilha1!F73)</f>
        <v>0</v>
      </c>
      <c r="I73">
        <f>COUNTIF('SEGURIDAD I (FEB)'!$A$1:$A$81,Planilha1!F73)</f>
        <v>0</v>
      </c>
      <c r="J73">
        <f>COUNTIF('PUERTA (MAR, JUL, NOV)'!$A$1:$A$47,Planilha1!F73)</f>
        <v>1</v>
      </c>
      <c r="K73">
        <f>COUNTIF('COMANDO (ABR,OCT)'!$A$1:$A$87,Planilha1!F73)</f>
        <v>0</v>
      </c>
      <c r="L73">
        <f>COUNTIF('MAQUINARIA (JUN,DEC)'!$A$1:$A$52,Planilha1!F73)</f>
        <v>0</v>
      </c>
      <c r="M73">
        <f>COUNTIF('SEGURIDAD II (AGO)'!$A$1:$A$95,Planilha1!F73)</f>
        <v>0</v>
      </c>
      <c r="N73">
        <f t="shared" si="1"/>
        <v>1</v>
      </c>
    </row>
    <row r="74" spans="6:14">
      <c r="F74" s="2" t="s">
        <v>128</v>
      </c>
      <c r="G74" t="s">
        <v>378</v>
      </c>
      <c r="H74">
        <f>COUNTIF('LIMPIEZA (ENE,MAY,SEP)'!$A$2:$A$49,Planilha1!F74)</f>
        <v>0</v>
      </c>
      <c r="I74">
        <f>COUNTIF('SEGURIDAD I (FEB)'!$A$1:$A$81,Planilha1!F74)</f>
        <v>0</v>
      </c>
      <c r="J74">
        <f>COUNTIF('PUERTA (MAR, JUL, NOV)'!$A$1:$A$47,Planilha1!F74)</f>
        <v>1</v>
      </c>
      <c r="K74">
        <f>COUNTIF('COMANDO (ABR,OCT)'!$A$1:$A$87,Planilha1!F74)</f>
        <v>0</v>
      </c>
      <c r="L74">
        <f>COUNTIF('MAQUINARIA (JUN,DEC)'!$A$1:$A$52,Planilha1!F74)</f>
        <v>0</v>
      </c>
      <c r="M74">
        <f>COUNTIF('SEGURIDAD II (AGO)'!$A$1:$A$95,Planilha1!F74)</f>
        <v>0</v>
      </c>
      <c r="N74">
        <f t="shared" si="1"/>
        <v>1</v>
      </c>
    </row>
    <row r="75" spans="6:14">
      <c r="F75" s="8" t="s">
        <v>130</v>
      </c>
      <c r="G75" t="s">
        <v>379</v>
      </c>
      <c r="H75">
        <f>COUNTIF('LIMPIEZA (ENE,MAY,SEP)'!$A$2:$A$49,Planilha1!F75)</f>
        <v>0</v>
      </c>
      <c r="I75">
        <f>COUNTIF('SEGURIDAD I (FEB)'!$A$1:$A$81,Planilha1!F75)</f>
        <v>0</v>
      </c>
      <c r="J75">
        <f>COUNTIF('PUERTA (MAR, JUL, NOV)'!$A$1:$A$47,Planilha1!F75)</f>
        <v>0</v>
      </c>
      <c r="K75">
        <f>COUNTIF('COMANDO (ABR,OCT)'!$A$1:$A$87,Planilha1!F75)</f>
        <v>0</v>
      </c>
      <c r="L75">
        <f>COUNTIF('MAQUINARIA (JUN,DEC)'!$A$1:$A$52,Planilha1!F75)</f>
        <v>0</v>
      </c>
      <c r="M75">
        <f>COUNTIF('SEGURIDAD II (AGO)'!$A$1:$A$95,Planilha1!F75)</f>
        <v>0</v>
      </c>
      <c r="N75">
        <f t="shared" si="1"/>
        <v>0</v>
      </c>
    </row>
    <row r="76" spans="6:14">
      <c r="F76" s="9" t="s">
        <v>133</v>
      </c>
      <c r="G76" t="s">
        <v>380</v>
      </c>
      <c r="H76">
        <f>COUNTIF('LIMPIEZA (ENE,MAY,SEP)'!$A$2:$A$49,Planilha1!F76)</f>
        <v>0</v>
      </c>
      <c r="I76">
        <f>COUNTIF('SEGURIDAD I (FEB)'!$A$1:$A$81,Planilha1!F76)</f>
        <v>0</v>
      </c>
      <c r="J76">
        <f>COUNTIF('PUERTA (MAR, JUL, NOV)'!$A$1:$A$47,Planilha1!F76)</f>
        <v>1</v>
      </c>
      <c r="K76">
        <f>COUNTIF('COMANDO (ABR,OCT)'!$A$1:$A$87,Planilha1!F76)</f>
        <v>0</v>
      </c>
      <c r="L76">
        <f>COUNTIF('MAQUINARIA (JUN,DEC)'!$A$1:$A$52,Planilha1!F76)</f>
        <v>0</v>
      </c>
      <c r="M76">
        <f>COUNTIF('SEGURIDAD II (AGO)'!$A$1:$A$95,Planilha1!F76)</f>
        <v>0</v>
      </c>
      <c r="N76">
        <f t="shared" si="1"/>
        <v>1</v>
      </c>
    </row>
    <row r="77" spans="6:14">
      <c r="F77" s="9" t="s">
        <v>135</v>
      </c>
      <c r="G77" t="s">
        <v>381</v>
      </c>
      <c r="H77">
        <f>COUNTIF('LIMPIEZA (ENE,MAY,SEP)'!$A$2:$A$49,Planilha1!F77)</f>
        <v>0</v>
      </c>
      <c r="I77">
        <f>COUNTIF('SEGURIDAD I (FEB)'!$A$1:$A$81,Planilha1!F77)</f>
        <v>0</v>
      </c>
      <c r="J77">
        <f>COUNTIF('PUERTA (MAR, JUL, NOV)'!$A$1:$A$47,Planilha1!F77)</f>
        <v>1</v>
      </c>
      <c r="K77">
        <f>COUNTIF('COMANDO (ABR,OCT)'!$A$1:$A$87,Planilha1!F77)</f>
        <v>0</v>
      </c>
      <c r="L77">
        <f>COUNTIF('MAQUINARIA (JUN,DEC)'!$A$1:$A$52,Planilha1!F77)</f>
        <v>0</v>
      </c>
      <c r="M77">
        <f>COUNTIF('SEGURIDAD II (AGO)'!$A$1:$A$95,Planilha1!F77)</f>
        <v>0</v>
      </c>
      <c r="N77">
        <f t="shared" si="1"/>
        <v>1</v>
      </c>
    </row>
    <row r="78" spans="6:14">
      <c r="F78" s="9" t="s">
        <v>139</v>
      </c>
      <c r="G78" t="s">
        <v>382</v>
      </c>
      <c r="H78">
        <f>COUNTIF('LIMPIEZA (ENE,MAY,SEP)'!$A$2:$A$49,Planilha1!F78)</f>
        <v>0</v>
      </c>
      <c r="I78">
        <f>COUNTIF('SEGURIDAD I (FEB)'!$A$1:$A$81,Planilha1!F78)</f>
        <v>0</v>
      </c>
      <c r="J78">
        <f>COUNTIF('PUERTA (MAR, JUL, NOV)'!$A$1:$A$47,Planilha1!F78)</f>
        <v>1</v>
      </c>
      <c r="K78">
        <f>COUNTIF('COMANDO (ABR,OCT)'!$A$1:$A$87,Planilha1!F78)</f>
        <v>0</v>
      </c>
      <c r="L78">
        <f>COUNTIF('MAQUINARIA (JUN,DEC)'!$A$1:$A$52,Planilha1!F78)</f>
        <v>0</v>
      </c>
      <c r="M78">
        <f>COUNTIF('SEGURIDAD II (AGO)'!$A$1:$A$95,Planilha1!F78)</f>
        <v>0</v>
      </c>
      <c r="N78">
        <f t="shared" si="1"/>
        <v>1</v>
      </c>
    </row>
    <row r="79" spans="6:14">
      <c r="F79" s="9" t="s">
        <v>228</v>
      </c>
      <c r="G79" t="s">
        <v>383</v>
      </c>
      <c r="H79">
        <f>COUNTIF('LIMPIEZA (ENE,MAY,SEP)'!$A$2:$A$49,Planilha1!F79)</f>
        <v>0</v>
      </c>
      <c r="I79">
        <f>COUNTIF('SEGURIDAD I (FEB)'!$A$1:$A$81,Planilha1!F79)</f>
        <v>0</v>
      </c>
      <c r="J79">
        <f>COUNTIF('PUERTA (MAR, JUL, NOV)'!$A$1:$A$47,Planilha1!F79)</f>
        <v>0</v>
      </c>
      <c r="K79">
        <f>COUNTIF('COMANDO (ABR,OCT)'!$A$1:$A$87,Planilha1!F79)</f>
        <v>1</v>
      </c>
      <c r="L79">
        <f>COUNTIF('MAQUINARIA (JUN,DEC)'!$A$1:$A$52,Planilha1!F79)</f>
        <v>0</v>
      </c>
      <c r="M79">
        <f>COUNTIF('SEGURIDAD II (AGO)'!$A$1:$A$95,Planilha1!F79)</f>
        <v>0</v>
      </c>
      <c r="N79">
        <f t="shared" si="1"/>
        <v>1</v>
      </c>
    </row>
    <row r="80" spans="6:14">
      <c r="F80" s="9" t="s">
        <v>229</v>
      </c>
      <c r="G80" t="s">
        <v>384</v>
      </c>
      <c r="H80">
        <f>COUNTIF('LIMPIEZA (ENE,MAY,SEP)'!$A$2:$A$49,Planilha1!F80)</f>
        <v>0</v>
      </c>
      <c r="I80">
        <f>COUNTIF('SEGURIDAD I (FEB)'!$A$1:$A$81,Planilha1!F80)</f>
        <v>0</v>
      </c>
      <c r="J80">
        <f>COUNTIF('PUERTA (MAR, JUL, NOV)'!$A$1:$A$47,Planilha1!F80)</f>
        <v>0</v>
      </c>
      <c r="K80">
        <f>COUNTIF('COMANDO (ABR,OCT)'!$A$1:$A$87,Planilha1!F80)</f>
        <v>1</v>
      </c>
      <c r="L80">
        <f>COUNTIF('MAQUINARIA (JUN,DEC)'!$A$1:$A$52,Planilha1!F80)</f>
        <v>0</v>
      </c>
      <c r="M80">
        <f>COUNTIF('SEGURIDAD II (AGO)'!$A$1:$A$95,Planilha1!F80)</f>
        <v>0</v>
      </c>
      <c r="N80">
        <f t="shared" si="1"/>
        <v>1</v>
      </c>
    </row>
    <row r="81" spans="6:14">
      <c r="F81" s="9" t="s">
        <v>230</v>
      </c>
      <c r="G81" t="s">
        <v>385</v>
      </c>
      <c r="H81">
        <f>COUNTIF('LIMPIEZA (ENE,MAY,SEP)'!$A$2:$A$49,Planilha1!F81)</f>
        <v>0</v>
      </c>
      <c r="I81">
        <f>COUNTIF('SEGURIDAD I (FEB)'!$A$1:$A$81,Planilha1!F81)</f>
        <v>0</v>
      </c>
      <c r="J81">
        <f>COUNTIF('PUERTA (MAR, JUL, NOV)'!$A$1:$A$47,Planilha1!F81)</f>
        <v>0</v>
      </c>
      <c r="K81">
        <f>COUNTIF('COMANDO (ABR,OCT)'!$A$1:$A$87,Planilha1!F81)</f>
        <v>1</v>
      </c>
      <c r="L81">
        <f>COUNTIF('MAQUINARIA (JUN,DEC)'!$A$1:$A$52,Planilha1!F81)</f>
        <v>0</v>
      </c>
      <c r="M81">
        <f>COUNTIF('SEGURIDAD II (AGO)'!$A$1:$A$95,Planilha1!F81)</f>
        <v>0</v>
      </c>
      <c r="N81">
        <f t="shared" si="1"/>
        <v>1</v>
      </c>
    </row>
    <row r="82" spans="6:14">
      <c r="F82" s="9" t="s">
        <v>57</v>
      </c>
      <c r="G82" t="s">
        <v>57</v>
      </c>
      <c r="H82">
        <f>COUNTIF('LIMPIEZA (ENE,MAY,SEP)'!$A$2:$A$49,Planilha1!F82)</f>
        <v>0</v>
      </c>
      <c r="I82">
        <f>COUNTIF('SEGURIDAD I (FEB)'!$A$1:$A$81,Planilha1!F82)</f>
        <v>1</v>
      </c>
      <c r="J82">
        <f>COUNTIF('PUERTA (MAR, JUL, NOV)'!$A$1:$A$47,Planilha1!F82)</f>
        <v>0</v>
      </c>
      <c r="K82">
        <f>COUNTIF('COMANDO (ABR,OCT)'!$A$1:$A$87,Planilha1!F82)</f>
        <v>0</v>
      </c>
      <c r="L82">
        <f>COUNTIF('MAQUINARIA (JUN,DEC)'!$A$1:$A$52,Planilha1!F82)</f>
        <v>0</v>
      </c>
      <c r="M82">
        <f>COUNTIF('SEGURIDAD II (AGO)'!$A$1:$A$95,Planilha1!F82)</f>
        <v>1</v>
      </c>
      <c r="N82">
        <f t="shared" si="1"/>
        <v>2</v>
      </c>
    </row>
    <row r="83" spans="6:14">
      <c r="F83" s="9" t="s">
        <v>59</v>
      </c>
      <c r="G83" t="s">
        <v>386</v>
      </c>
      <c r="H83">
        <f>COUNTIF('LIMPIEZA (ENE,MAY,SEP)'!$A$2:$A$49,Planilha1!F83)</f>
        <v>0</v>
      </c>
      <c r="I83">
        <f>COUNTIF('SEGURIDAD I (FEB)'!$A$1:$A$81,Planilha1!F83)</f>
        <v>1</v>
      </c>
      <c r="J83">
        <f>COUNTIF('PUERTA (MAR, JUL, NOV)'!$A$1:$A$47,Planilha1!F83)</f>
        <v>0</v>
      </c>
      <c r="K83">
        <f>COUNTIF('COMANDO (ABR,OCT)'!$A$1:$A$87,Planilha1!F83)</f>
        <v>0</v>
      </c>
      <c r="L83">
        <f>COUNTIF('MAQUINARIA (JUN,DEC)'!$A$1:$A$52,Planilha1!F83)</f>
        <v>1</v>
      </c>
      <c r="M83">
        <f>COUNTIF('SEGURIDAD II (AGO)'!$A$1:$A$95,Planilha1!F83)</f>
        <v>1</v>
      </c>
      <c r="N83">
        <f t="shared" si="1"/>
        <v>3</v>
      </c>
    </row>
    <row r="84" spans="6:14">
      <c r="F84" s="9" t="s">
        <v>27</v>
      </c>
      <c r="G84" t="s">
        <v>387</v>
      </c>
      <c r="H84">
        <f>COUNTIF('LIMPIEZA (ENE,MAY,SEP)'!$A$2:$A$49,Planilha1!F84)</f>
        <v>1</v>
      </c>
      <c r="I84">
        <f>COUNTIF('SEGURIDAD I (FEB)'!$A$1:$A$81,Planilha1!F84)</f>
        <v>0</v>
      </c>
      <c r="J84">
        <f>COUNTIF('PUERTA (MAR, JUL, NOV)'!$A$1:$A$47,Planilha1!F84)</f>
        <v>0</v>
      </c>
      <c r="K84">
        <f>COUNTIF('COMANDO (ABR,OCT)'!$A$1:$A$87,Planilha1!F84)</f>
        <v>0</v>
      </c>
      <c r="L84">
        <f>COUNTIF('MAQUINARIA (JUN,DEC)'!$A$1:$A$52,Planilha1!F84)</f>
        <v>0</v>
      </c>
      <c r="M84">
        <f>COUNTIF('SEGURIDAD II (AGO)'!$A$1:$A$95,Planilha1!F84)</f>
        <v>0</v>
      </c>
      <c r="N84">
        <f t="shared" si="1"/>
        <v>1</v>
      </c>
    </row>
    <row r="85" spans="6:14">
      <c r="F85" s="9" t="s">
        <v>61</v>
      </c>
      <c r="G85" t="s">
        <v>388</v>
      </c>
      <c r="H85">
        <f>COUNTIF('LIMPIEZA (ENE,MAY,SEP)'!$A$2:$A$49,Planilha1!F85)</f>
        <v>0</v>
      </c>
      <c r="I85">
        <f>COUNTIF('SEGURIDAD I (FEB)'!$A$1:$A$81,Planilha1!F85)</f>
        <v>1</v>
      </c>
      <c r="J85">
        <f>COUNTIF('PUERTA (MAR, JUL, NOV)'!$A$1:$A$47,Planilha1!F85)</f>
        <v>0</v>
      </c>
      <c r="K85">
        <f>COUNTIF('COMANDO (ABR,OCT)'!$A$1:$A$87,Planilha1!F85)</f>
        <v>0</v>
      </c>
      <c r="L85">
        <f>COUNTIF('MAQUINARIA (JUN,DEC)'!$A$1:$A$52,Planilha1!F85)</f>
        <v>0</v>
      </c>
      <c r="M85">
        <f>COUNTIF('SEGURIDAD II (AGO)'!$A$1:$A$95,Planilha1!F85)</f>
        <v>1</v>
      </c>
      <c r="N85">
        <f t="shared" si="1"/>
        <v>2</v>
      </c>
    </row>
    <row r="86" spans="6:14">
      <c r="F86" s="9" t="s">
        <v>62</v>
      </c>
      <c r="G86" t="s">
        <v>389</v>
      </c>
      <c r="H86">
        <f>COUNTIF('LIMPIEZA (ENE,MAY,SEP)'!$A$2:$A$49,Planilha1!F86)</f>
        <v>0</v>
      </c>
      <c r="I86">
        <f>COUNTIF('SEGURIDAD I (FEB)'!$A$1:$A$81,Planilha1!F86)</f>
        <v>1</v>
      </c>
      <c r="J86">
        <f>COUNTIF('PUERTA (MAR, JUL, NOV)'!$A$1:$A$47,Planilha1!F86)</f>
        <v>0</v>
      </c>
      <c r="K86">
        <f>COUNTIF('COMANDO (ABR,OCT)'!$A$1:$A$87,Planilha1!F86)</f>
        <v>0</v>
      </c>
      <c r="L86">
        <f>COUNTIF('MAQUINARIA (JUN,DEC)'!$A$1:$A$52,Planilha1!F86)</f>
        <v>0</v>
      </c>
      <c r="M86">
        <f>COUNTIF('SEGURIDAD II (AGO)'!$A$1:$A$95,Planilha1!F86)</f>
        <v>1</v>
      </c>
      <c r="N86">
        <f t="shared" si="1"/>
        <v>2</v>
      </c>
    </row>
    <row r="87" spans="6:14">
      <c r="F87" s="9" t="s">
        <v>64</v>
      </c>
      <c r="G87" t="s">
        <v>390</v>
      </c>
      <c r="H87">
        <f>COUNTIF('LIMPIEZA (ENE,MAY,SEP)'!$A$2:$A$49,Planilha1!F87)</f>
        <v>0</v>
      </c>
      <c r="I87">
        <f>COUNTIF('SEGURIDAD I (FEB)'!$A$1:$A$81,Planilha1!F87)</f>
        <v>1</v>
      </c>
      <c r="J87">
        <f>COUNTIF('PUERTA (MAR, JUL, NOV)'!$A$1:$A$47,Planilha1!F87)</f>
        <v>0</v>
      </c>
      <c r="K87">
        <f>COUNTIF('COMANDO (ABR,OCT)'!$A$1:$A$87,Planilha1!F87)</f>
        <v>0</v>
      </c>
      <c r="L87">
        <f>COUNTIF('MAQUINARIA (JUN,DEC)'!$A$1:$A$52,Planilha1!F87)</f>
        <v>0</v>
      </c>
      <c r="M87">
        <f>COUNTIF('SEGURIDAD II (AGO)'!$A$1:$A$95,Planilha1!F87)</f>
        <v>1</v>
      </c>
      <c r="N87">
        <f t="shared" si="1"/>
        <v>2</v>
      </c>
    </row>
    <row r="88" spans="6:14">
      <c r="F88" s="9" t="s">
        <v>33</v>
      </c>
      <c r="G88" t="s">
        <v>391</v>
      </c>
      <c r="H88">
        <f>COUNTIF('LIMPIEZA (ENE,MAY,SEP)'!$A$2:$A$49,Planilha1!F88)</f>
        <v>1</v>
      </c>
      <c r="I88">
        <f>COUNTIF('SEGURIDAD I (FEB)'!$A$1:$A$81,Planilha1!F88)</f>
        <v>1</v>
      </c>
      <c r="J88">
        <f>COUNTIF('PUERTA (MAR, JUL, NOV)'!$A$1:$A$47,Planilha1!F88)</f>
        <v>1</v>
      </c>
      <c r="K88">
        <f>COUNTIF('COMANDO (ABR,OCT)'!$A$1:$A$87,Planilha1!F88)</f>
        <v>1</v>
      </c>
      <c r="L88">
        <f>COUNTIF('MAQUINARIA (JUN,DEC)'!$A$1:$A$52,Planilha1!F88)</f>
        <v>1</v>
      </c>
      <c r="M88">
        <f>COUNTIF('SEGURIDAD II (AGO)'!$A$1:$A$95,Planilha1!F88)</f>
        <v>1</v>
      </c>
      <c r="N88">
        <f t="shared" si="1"/>
        <v>6</v>
      </c>
    </row>
    <row r="89" spans="6:14">
      <c r="F89" s="9" t="s">
        <v>73</v>
      </c>
      <c r="G89" t="s">
        <v>392</v>
      </c>
      <c r="H89">
        <f>COUNTIF('LIMPIEZA (ENE,MAY,SEP)'!$A$2:$A$49,Planilha1!F89)</f>
        <v>0</v>
      </c>
      <c r="I89">
        <f>COUNTIF('SEGURIDAD I (FEB)'!$A$1:$A$81,Planilha1!F89)</f>
        <v>1</v>
      </c>
      <c r="J89">
        <f>COUNTIF('PUERTA (MAR, JUL, NOV)'!$A$1:$A$47,Planilha1!F89)</f>
        <v>0</v>
      </c>
      <c r="K89">
        <f>COUNTIF('COMANDO (ABR,OCT)'!$A$1:$A$87,Planilha1!F89)</f>
        <v>0</v>
      </c>
      <c r="L89">
        <f>COUNTIF('MAQUINARIA (JUN,DEC)'!$A$1:$A$52,Planilha1!F89)</f>
        <v>0</v>
      </c>
      <c r="M89">
        <f>COUNTIF('SEGURIDAD II (AGO)'!$A$1:$A$95,Planilha1!F89)</f>
        <v>1</v>
      </c>
      <c r="N89">
        <f t="shared" si="1"/>
        <v>2</v>
      </c>
    </row>
    <row r="90" spans="6:14">
      <c r="F90" s="9" t="s">
        <v>36</v>
      </c>
      <c r="G90" t="s">
        <v>393</v>
      </c>
      <c r="H90">
        <f>COUNTIF('LIMPIEZA (ENE,MAY,SEP)'!$A$2:$A$49,Planilha1!F90)</f>
        <v>1</v>
      </c>
      <c r="I90">
        <f>COUNTIF('SEGURIDAD I (FEB)'!$A$1:$A$81,Planilha1!F90)</f>
        <v>0</v>
      </c>
      <c r="J90">
        <f>COUNTIF('PUERTA (MAR, JUL, NOV)'!$A$1:$A$47,Planilha1!F90)</f>
        <v>1</v>
      </c>
      <c r="K90">
        <f>COUNTIF('COMANDO (ABR,OCT)'!$A$1:$A$87,Planilha1!F90)</f>
        <v>0</v>
      </c>
      <c r="L90">
        <f>COUNTIF('MAQUINARIA (JUN,DEC)'!$A$1:$A$52,Planilha1!F90)</f>
        <v>1</v>
      </c>
      <c r="M90">
        <f>COUNTIF('SEGURIDAD II (AGO)'!$A$1:$A$95,Planilha1!F90)</f>
        <v>0</v>
      </c>
      <c r="N90">
        <f t="shared" si="1"/>
        <v>3</v>
      </c>
    </row>
    <row r="91" spans="6:14">
      <c r="F91" s="9" t="s">
        <v>38</v>
      </c>
      <c r="G91" t="s">
        <v>394</v>
      </c>
      <c r="H91">
        <f>COUNTIF('LIMPIEZA (ENE,MAY,SEP)'!$A$2:$A$49,Planilha1!F91)</f>
        <v>1</v>
      </c>
      <c r="I91">
        <f>COUNTIF('SEGURIDAD I (FEB)'!$A$1:$A$81,Planilha1!F91)</f>
        <v>0</v>
      </c>
      <c r="J91">
        <f>COUNTIF('PUERTA (MAR, JUL, NOV)'!$A$1:$A$47,Planilha1!F91)</f>
        <v>0</v>
      </c>
      <c r="K91">
        <f>COUNTIF('COMANDO (ABR,OCT)'!$A$1:$A$87,Planilha1!F91)</f>
        <v>0</v>
      </c>
      <c r="L91">
        <f>COUNTIF('MAQUINARIA (JUN,DEC)'!$A$1:$A$52,Planilha1!F91)</f>
        <v>0</v>
      </c>
      <c r="M91">
        <f>COUNTIF('SEGURIDAD II (AGO)'!$A$1:$A$95,Planilha1!F91)</f>
        <v>0</v>
      </c>
      <c r="N91">
        <f t="shared" si="1"/>
        <v>1</v>
      </c>
    </row>
    <row r="92" spans="6:14">
      <c r="F92" s="9" t="s">
        <v>40</v>
      </c>
      <c r="G92" t="s">
        <v>322</v>
      </c>
      <c r="H92">
        <f>COUNTIF('LIMPIEZA (ENE,MAY,SEP)'!$A$2:$A$49,Planilha1!F92)</f>
        <v>1</v>
      </c>
      <c r="I92">
        <f>COUNTIF('SEGURIDAD I (FEB)'!$A$1:$A$81,Planilha1!F92)</f>
        <v>0</v>
      </c>
      <c r="J92">
        <f>COUNTIF('PUERTA (MAR, JUL, NOV)'!$A$1:$A$47,Planilha1!F92)</f>
        <v>0</v>
      </c>
      <c r="K92">
        <f>COUNTIF('COMANDO (ABR,OCT)'!$A$1:$A$87,Planilha1!F92)</f>
        <v>0</v>
      </c>
      <c r="L92">
        <f>COUNTIF('MAQUINARIA (JUN,DEC)'!$A$1:$A$52,Planilha1!F92)</f>
        <v>0</v>
      </c>
      <c r="M92">
        <f>COUNTIF('SEGURIDAD II (AGO)'!$A$1:$A$95,Planilha1!F92)</f>
        <v>0</v>
      </c>
      <c r="N92">
        <f t="shared" si="1"/>
        <v>1</v>
      </c>
    </row>
    <row r="93" spans="6:14">
      <c r="F93" s="9" t="s">
        <v>141</v>
      </c>
      <c r="G93" t="s">
        <v>395</v>
      </c>
      <c r="H93">
        <f>COUNTIF('LIMPIEZA (ENE,MAY,SEP)'!$A$2:$A$49,Planilha1!F93)</f>
        <v>0</v>
      </c>
      <c r="I93">
        <f>COUNTIF('SEGURIDAD I (FEB)'!$A$1:$A$81,Planilha1!F93)</f>
        <v>0</v>
      </c>
      <c r="J93">
        <f>COUNTIF('PUERTA (MAR, JUL, NOV)'!$A$1:$A$47,Planilha1!F93)</f>
        <v>1</v>
      </c>
      <c r="K93">
        <f>COUNTIF('COMANDO (ABR,OCT)'!$A$1:$A$87,Planilha1!F93)</f>
        <v>0</v>
      </c>
      <c r="L93">
        <f>COUNTIF('MAQUINARIA (JUN,DEC)'!$A$1:$A$52,Planilha1!F93)</f>
        <v>0</v>
      </c>
      <c r="M93">
        <f>COUNTIF('SEGURIDAD II (AGO)'!$A$1:$A$95,Planilha1!F93)</f>
        <v>0</v>
      </c>
      <c r="N93">
        <f t="shared" si="1"/>
        <v>1</v>
      </c>
    </row>
    <row r="94" spans="6:14">
      <c r="F94" s="9" t="s">
        <v>143</v>
      </c>
      <c r="G94" t="s">
        <v>396</v>
      </c>
      <c r="H94">
        <f>COUNTIF('LIMPIEZA (ENE,MAY,SEP)'!$A$2:$A$49,Planilha1!F94)</f>
        <v>0</v>
      </c>
      <c r="I94">
        <f>COUNTIF('SEGURIDAD I (FEB)'!$A$1:$A$81,Planilha1!F94)</f>
        <v>0</v>
      </c>
      <c r="J94">
        <f>COUNTIF('PUERTA (MAR, JUL, NOV)'!$A$1:$A$47,Planilha1!F94)</f>
        <v>1</v>
      </c>
      <c r="K94">
        <f>COUNTIF('COMANDO (ABR,OCT)'!$A$1:$A$87,Planilha1!F94)</f>
        <v>0</v>
      </c>
      <c r="L94">
        <f>COUNTIF('MAQUINARIA (JUN,DEC)'!$A$1:$A$52,Planilha1!F94)</f>
        <v>0</v>
      </c>
      <c r="M94">
        <f>COUNTIF('SEGURIDAD II (AGO)'!$A$1:$A$95,Planilha1!F94)</f>
        <v>0</v>
      </c>
      <c r="N94">
        <f t="shared" si="1"/>
        <v>1</v>
      </c>
    </row>
    <row r="95" spans="6:14">
      <c r="F95" s="9" t="s">
        <v>145</v>
      </c>
      <c r="G95" t="s">
        <v>397</v>
      </c>
      <c r="H95">
        <f>COUNTIF('LIMPIEZA (ENE,MAY,SEP)'!$A$2:$A$49,Planilha1!F95)</f>
        <v>0</v>
      </c>
      <c r="I95">
        <f>COUNTIF('SEGURIDAD I (FEB)'!$A$1:$A$81,Planilha1!F95)</f>
        <v>0</v>
      </c>
      <c r="J95">
        <f>COUNTIF('PUERTA (MAR, JUL, NOV)'!$A$1:$A$47,Planilha1!F95)</f>
        <v>1</v>
      </c>
      <c r="K95">
        <f>COUNTIF('COMANDO (ABR,OCT)'!$A$1:$A$87,Planilha1!F95)</f>
        <v>0</v>
      </c>
      <c r="L95">
        <f>COUNTIF('MAQUINARIA (JUN,DEC)'!$A$1:$A$52,Planilha1!F95)</f>
        <v>0</v>
      </c>
      <c r="M95">
        <f>COUNTIF('SEGURIDAD II (AGO)'!$A$1:$A$95,Planilha1!F95)</f>
        <v>0</v>
      </c>
      <c r="N95">
        <f t="shared" si="1"/>
        <v>1</v>
      </c>
    </row>
    <row r="96" spans="6:14">
      <c r="F96" s="9" t="s">
        <v>147</v>
      </c>
      <c r="G96" t="s">
        <v>398</v>
      </c>
      <c r="H96">
        <f>COUNTIF('LIMPIEZA (ENE,MAY,SEP)'!$A$2:$A$49,Planilha1!F96)</f>
        <v>0</v>
      </c>
      <c r="I96">
        <f>COUNTIF('SEGURIDAD I (FEB)'!$A$1:$A$81,Planilha1!F96)</f>
        <v>0</v>
      </c>
      <c r="J96">
        <f>COUNTIF('PUERTA (MAR, JUL, NOV)'!$A$1:$A$47,Planilha1!F96)</f>
        <v>1</v>
      </c>
      <c r="K96">
        <f>COUNTIF('COMANDO (ABR,OCT)'!$A$1:$A$87,Planilha1!F96)</f>
        <v>0</v>
      </c>
      <c r="L96">
        <f>COUNTIF('MAQUINARIA (JUN,DEC)'!$A$1:$A$52,Planilha1!F96)</f>
        <v>0</v>
      </c>
      <c r="M96">
        <f>COUNTIF('SEGURIDAD II (AGO)'!$A$1:$A$95,Planilha1!F96)</f>
        <v>0</v>
      </c>
      <c r="N96">
        <f t="shared" si="1"/>
        <v>1</v>
      </c>
    </row>
    <row r="97" spans="6:14">
      <c r="F97" s="9" t="s">
        <v>149</v>
      </c>
      <c r="G97" t="s">
        <v>399</v>
      </c>
      <c r="H97">
        <f>COUNTIF('LIMPIEZA (ENE,MAY,SEP)'!$A$2:$A$49,Planilha1!F97)</f>
        <v>0</v>
      </c>
      <c r="I97">
        <f>COUNTIF('SEGURIDAD I (FEB)'!$A$1:$A$81,Planilha1!F97)</f>
        <v>0</v>
      </c>
      <c r="J97">
        <f>COUNTIF('PUERTA (MAR, JUL, NOV)'!$A$1:$A$47,Planilha1!F97)</f>
        <v>1</v>
      </c>
      <c r="K97">
        <f>COUNTIF('COMANDO (ABR,OCT)'!$A$1:$A$87,Planilha1!F97)</f>
        <v>0</v>
      </c>
      <c r="L97">
        <f>COUNTIF('MAQUINARIA (JUN,DEC)'!$A$1:$A$52,Planilha1!F97)</f>
        <v>0</v>
      </c>
      <c r="M97">
        <f>COUNTIF('SEGURIDAD II (AGO)'!$A$1:$A$95,Planilha1!F97)</f>
        <v>0</v>
      </c>
      <c r="N97">
        <f t="shared" si="1"/>
        <v>1</v>
      </c>
    </row>
    <row r="98" spans="6:14">
      <c r="F98" s="9" t="s">
        <v>260</v>
      </c>
      <c r="G98" t="s">
        <v>400</v>
      </c>
      <c r="H98">
        <f>COUNTIF('LIMPIEZA (ENE,MAY,SEP)'!$A$2:$A$49,Planilha1!F98)</f>
        <v>0</v>
      </c>
      <c r="I98">
        <f>COUNTIF('SEGURIDAD I (FEB)'!$A$1:$A$81,Planilha1!F98)</f>
        <v>0</v>
      </c>
      <c r="J98">
        <f>COUNTIF('PUERTA (MAR, JUL, NOV)'!$A$1:$A$47,Planilha1!F98)</f>
        <v>0</v>
      </c>
      <c r="K98">
        <f>COUNTIF('COMANDO (ABR,OCT)'!$A$1:$A$87,Planilha1!F98)</f>
        <v>0</v>
      </c>
      <c r="L98">
        <f>COUNTIF('MAQUINARIA (JUN,DEC)'!$A$1:$A$52,Planilha1!F98)</f>
        <v>0</v>
      </c>
      <c r="M98">
        <f>COUNTIF('SEGURIDAD II (AGO)'!$A$1:$A$95,Planilha1!F98)</f>
        <v>0</v>
      </c>
      <c r="N98">
        <f t="shared" si="1"/>
        <v>0</v>
      </c>
    </row>
    <row r="99" spans="6:14">
      <c r="F99" s="2" t="s">
        <v>263</v>
      </c>
      <c r="G99" t="s">
        <v>401</v>
      </c>
      <c r="H99">
        <f>COUNTIF('LIMPIEZA (ENE,MAY,SEP)'!$A$2:$A$49,Planilha1!F99)</f>
        <v>0</v>
      </c>
      <c r="I99">
        <f>COUNTIF('SEGURIDAD I (FEB)'!$A$1:$A$81,Planilha1!F99)</f>
        <v>0</v>
      </c>
      <c r="J99">
        <f>COUNTIF('PUERTA (MAR, JUL, NOV)'!$A$1:$A$47,Planilha1!F99)</f>
        <v>0</v>
      </c>
      <c r="K99">
        <f>COUNTIF('COMANDO (ABR,OCT)'!$A$1:$A$87,Planilha1!F99)</f>
        <v>0</v>
      </c>
      <c r="L99">
        <f>COUNTIF('MAQUINARIA (JUN,DEC)'!$A$1:$A$52,Planilha1!F99)</f>
        <v>1</v>
      </c>
      <c r="M99">
        <f>COUNTIF('SEGURIDAD II (AGO)'!$A$1:$A$95,Planilha1!F99)</f>
        <v>0</v>
      </c>
      <c r="N99">
        <f t="shared" si="1"/>
        <v>1</v>
      </c>
    </row>
    <row r="100" spans="6:14">
      <c r="F100" s="9" t="s">
        <v>267</v>
      </c>
      <c r="G100" t="s">
        <v>402</v>
      </c>
      <c r="H100">
        <f>COUNTIF('LIMPIEZA (ENE,MAY,SEP)'!$A$2:$A$49,Planilha1!F100)</f>
        <v>0</v>
      </c>
      <c r="I100">
        <f>COUNTIF('SEGURIDAD I (FEB)'!$A$1:$A$81,Planilha1!F100)</f>
        <v>0</v>
      </c>
      <c r="J100">
        <f>COUNTIF('PUERTA (MAR, JUL, NOV)'!$A$1:$A$47,Planilha1!F100)</f>
        <v>0</v>
      </c>
      <c r="K100">
        <f>COUNTIF('COMANDO (ABR,OCT)'!$A$1:$A$87,Planilha1!F100)</f>
        <v>0</v>
      </c>
      <c r="L100">
        <f>COUNTIF('MAQUINARIA (JUN,DEC)'!$A$1:$A$52,Planilha1!F100)</f>
        <v>1</v>
      </c>
      <c r="M100">
        <f>COUNTIF('SEGURIDAD II (AGO)'!$A$1:$A$95,Planilha1!F100)</f>
        <v>0</v>
      </c>
      <c r="N100">
        <f t="shared" si="1"/>
        <v>1</v>
      </c>
    </row>
    <row r="101" spans="6:14">
      <c r="F101" s="9" t="s">
        <v>268</v>
      </c>
      <c r="G101" t="s">
        <v>403</v>
      </c>
      <c r="H101">
        <f>COUNTIF('LIMPIEZA (ENE,MAY,SEP)'!$A$2:$A$49,Planilha1!F101)</f>
        <v>0</v>
      </c>
      <c r="I101">
        <f>COUNTIF('SEGURIDAD I (FEB)'!$A$1:$A$81,Planilha1!F101)</f>
        <v>0</v>
      </c>
      <c r="J101">
        <f>COUNTIF('PUERTA (MAR, JUL, NOV)'!$A$1:$A$47,Planilha1!F101)</f>
        <v>0</v>
      </c>
      <c r="K101">
        <f>COUNTIF('COMANDO (ABR,OCT)'!$A$1:$A$87,Planilha1!F101)</f>
        <v>0</v>
      </c>
      <c r="L101">
        <f>COUNTIF('MAQUINARIA (JUN,DEC)'!$A$1:$A$52,Planilha1!F101)</f>
        <v>1</v>
      </c>
      <c r="M101">
        <f>COUNTIF('SEGURIDAD II (AGO)'!$A$1:$A$95,Planilha1!F101)</f>
        <v>0</v>
      </c>
      <c r="N101">
        <f t="shared" si="1"/>
        <v>1</v>
      </c>
    </row>
    <row r="102" spans="6:14">
      <c r="F102" s="8" t="s">
        <v>270</v>
      </c>
      <c r="G102" t="s">
        <v>404</v>
      </c>
      <c r="H102">
        <f>COUNTIF('LIMPIEZA (ENE,MAY,SEP)'!$A$2:$A$49,Planilha1!F102)</f>
        <v>0</v>
      </c>
      <c r="I102">
        <f>COUNTIF('SEGURIDAD I (FEB)'!$A$1:$A$81,Planilha1!F102)</f>
        <v>0</v>
      </c>
      <c r="J102">
        <f>COUNTIF('PUERTA (MAR, JUL, NOV)'!$A$1:$A$47,Planilha1!F102)</f>
        <v>0</v>
      </c>
      <c r="K102">
        <f>COUNTIF('COMANDO (ABR,OCT)'!$A$1:$A$87,Planilha1!F102)</f>
        <v>0</v>
      </c>
      <c r="L102">
        <f>COUNTIF('MAQUINARIA (JUN,DEC)'!$A$1:$A$52,Planilha1!F102)</f>
        <v>1</v>
      </c>
      <c r="M102">
        <f>COUNTIF('SEGURIDAD II (AGO)'!$A$1:$A$95,Planilha1!F102)</f>
        <v>0</v>
      </c>
      <c r="N102">
        <f t="shared" si="1"/>
        <v>1</v>
      </c>
    </row>
    <row r="103" spans="6:14">
      <c r="F103" s="9" t="s">
        <v>272</v>
      </c>
      <c r="G103" t="s">
        <v>405</v>
      </c>
      <c r="H103">
        <f>COUNTIF('LIMPIEZA (ENE,MAY,SEP)'!$A$2:$A$49,Planilha1!F103)</f>
        <v>0</v>
      </c>
      <c r="I103">
        <f>COUNTIF('SEGURIDAD I (FEB)'!$A$1:$A$81,Planilha1!F103)</f>
        <v>0</v>
      </c>
      <c r="J103">
        <f>COUNTIF('PUERTA (MAR, JUL, NOV)'!$A$1:$A$47,Planilha1!F103)</f>
        <v>0</v>
      </c>
      <c r="K103">
        <f>COUNTIF('COMANDO (ABR,OCT)'!$A$1:$A$87,Planilha1!F103)</f>
        <v>0</v>
      </c>
      <c r="L103">
        <f>COUNTIF('MAQUINARIA (JUN,DEC)'!$A$1:$A$52,Planilha1!F103)</f>
        <v>1</v>
      </c>
      <c r="M103">
        <f>COUNTIF('SEGURIDAD II (AGO)'!$A$1:$A$95,Planilha1!F103)</f>
        <v>0</v>
      </c>
      <c r="N103">
        <f t="shared" si="1"/>
        <v>1</v>
      </c>
    </row>
    <row r="104" spans="6:14">
      <c r="F104" s="9" t="s">
        <v>274</v>
      </c>
      <c r="G104" t="s">
        <v>406</v>
      </c>
      <c r="H104">
        <f>COUNTIF('LIMPIEZA (ENE,MAY,SEP)'!$A$2:$A$49,Planilha1!F104)</f>
        <v>0</v>
      </c>
      <c r="I104">
        <f>COUNTIF('SEGURIDAD I (FEB)'!$A$1:$A$81,Planilha1!F104)</f>
        <v>0</v>
      </c>
      <c r="J104">
        <f>COUNTIF('PUERTA (MAR, JUL, NOV)'!$A$1:$A$47,Planilha1!F104)</f>
        <v>0</v>
      </c>
      <c r="K104">
        <f>COUNTIF('COMANDO (ABR,OCT)'!$A$1:$A$87,Planilha1!F104)</f>
        <v>0</v>
      </c>
      <c r="L104">
        <f>COUNTIF('MAQUINARIA (JUN,DEC)'!$A$1:$A$52,Planilha1!F104)</f>
        <v>1</v>
      </c>
      <c r="M104">
        <f>COUNTIF('SEGURIDAD II (AGO)'!$A$1:$A$95,Planilha1!F104)</f>
        <v>0</v>
      </c>
      <c r="N104">
        <f t="shared" si="1"/>
        <v>1</v>
      </c>
    </row>
    <row r="105" spans="6:14">
      <c r="F105" s="9" t="s">
        <v>42</v>
      </c>
      <c r="G105" t="s">
        <v>407</v>
      </c>
      <c r="H105">
        <f>COUNTIF('LIMPIEZA (ENE,MAY,SEP)'!$A$2:$A$49,Planilha1!F105)</f>
        <v>1</v>
      </c>
      <c r="I105">
        <f>COUNTIF('SEGURIDAD I (FEB)'!$A$1:$A$81,Planilha1!F105)</f>
        <v>1</v>
      </c>
      <c r="J105">
        <f>COUNTIF('PUERTA (MAR, JUL, NOV)'!$A$1:$A$47,Planilha1!F105)</f>
        <v>1</v>
      </c>
      <c r="K105">
        <f>COUNTIF('COMANDO (ABR,OCT)'!$A$1:$A$87,Planilha1!F105)</f>
        <v>0</v>
      </c>
      <c r="L105">
        <f>COUNTIF('MAQUINARIA (JUN,DEC)'!$A$1:$A$52,Planilha1!F105)</f>
        <v>1</v>
      </c>
      <c r="M105">
        <f>COUNTIF('SEGURIDAD II (AGO)'!$A$1:$A$95,Planilha1!F105)</f>
        <v>1</v>
      </c>
      <c r="N105">
        <f t="shared" si="1"/>
        <v>5</v>
      </c>
    </row>
    <row r="106" spans="6:14">
      <c r="F106" s="10" t="s">
        <v>44</v>
      </c>
      <c r="G106" t="s">
        <v>408</v>
      </c>
      <c r="H106">
        <f>COUNTIF('LIMPIEZA (ENE,MAY,SEP)'!$A$2:$A$49,Planilha1!F106)</f>
        <v>2</v>
      </c>
      <c r="I106">
        <f>COUNTIF('SEGURIDAD I (FEB)'!$A$1:$A$81,Planilha1!F106)</f>
        <v>1</v>
      </c>
      <c r="J106">
        <f>COUNTIF('PUERTA (MAR, JUL, NOV)'!$A$1:$A$47,Planilha1!F106)</f>
        <v>0</v>
      </c>
      <c r="K106">
        <f>COUNTIF('COMANDO (ABR,OCT)'!$A$1:$A$87,Planilha1!F106)</f>
        <v>0</v>
      </c>
      <c r="L106">
        <f>COUNTIF('MAQUINARIA (JUN,DEC)'!$A$1:$A$52,Planilha1!F106)</f>
        <v>0</v>
      </c>
      <c r="M106">
        <f>COUNTIF('SEGURIDAD II (AGO)'!$A$1:$A$95,Planilha1!F106)</f>
        <v>1</v>
      </c>
      <c r="N106">
        <f t="shared" si="1"/>
        <v>4</v>
      </c>
    </row>
    <row r="107" spans="6:14">
      <c r="F107" s="9" t="s">
        <v>76</v>
      </c>
      <c r="G107" t="s">
        <v>409</v>
      </c>
      <c r="H107">
        <f>COUNTIF('LIMPIEZA (ENE,MAY,SEP)'!$A$2:$A$49,Planilha1!F107)</f>
        <v>0</v>
      </c>
      <c r="I107">
        <f>COUNTIF('SEGURIDAD I (FEB)'!$A$1:$A$81,Planilha1!F107)</f>
        <v>1</v>
      </c>
      <c r="J107">
        <f>COUNTIF('PUERTA (MAR, JUL, NOV)'!$A$1:$A$47,Planilha1!F107)</f>
        <v>0</v>
      </c>
      <c r="K107">
        <f>COUNTIF('COMANDO (ABR,OCT)'!$A$1:$A$87,Planilha1!F107)</f>
        <v>0</v>
      </c>
      <c r="L107">
        <f>COUNTIF('MAQUINARIA (JUN,DEC)'!$A$1:$A$52,Planilha1!F107)</f>
        <v>0</v>
      </c>
      <c r="M107">
        <f>COUNTIF('SEGURIDAD II (AGO)'!$A$1:$A$95,Planilha1!F107)</f>
        <v>1</v>
      </c>
      <c r="N107">
        <f t="shared" si="1"/>
        <v>2</v>
      </c>
    </row>
    <row r="108" spans="6:14">
      <c r="F108" s="9" t="s">
        <v>78</v>
      </c>
      <c r="G108" t="s">
        <v>410</v>
      </c>
      <c r="H108">
        <f>COUNTIF('LIMPIEZA (ENE,MAY,SEP)'!$A$2:$A$49,Planilha1!F108)</f>
        <v>0</v>
      </c>
      <c r="I108">
        <f>COUNTIF('SEGURIDAD I (FEB)'!$A$1:$A$81,Planilha1!F108)</f>
        <v>1</v>
      </c>
      <c r="J108">
        <f>COUNTIF('PUERTA (MAR, JUL, NOV)'!$A$1:$A$47,Planilha1!F108)</f>
        <v>0</v>
      </c>
      <c r="K108">
        <f>COUNTIF('COMANDO (ABR,OCT)'!$A$1:$A$87,Planilha1!F108)</f>
        <v>0</v>
      </c>
      <c r="L108">
        <f>COUNTIF('MAQUINARIA (JUN,DEC)'!$A$1:$A$52,Planilha1!F108)</f>
        <v>0</v>
      </c>
      <c r="M108">
        <f>COUNTIF('SEGURIDAD II (AGO)'!$A$1:$A$95,Planilha1!F108)</f>
        <v>1</v>
      </c>
      <c r="N108">
        <f t="shared" si="1"/>
        <v>2</v>
      </c>
    </row>
    <row r="109" spans="6:14">
      <c r="F109" s="9" t="s">
        <v>79</v>
      </c>
      <c r="G109" t="s">
        <v>411</v>
      </c>
      <c r="H109">
        <f>COUNTIF('LIMPIEZA (ENE,MAY,SEP)'!$A$2:$A$49,Planilha1!F109)</f>
        <v>0</v>
      </c>
      <c r="I109">
        <f>COUNTIF('SEGURIDAD I (FEB)'!$A$1:$A$81,Planilha1!F109)</f>
        <v>1</v>
      </c>
      <c r="J109">
        <f>COUNTIF('PUERTA (MAR, JUL, NOV)'!$A$1:$A$47,Planilha1!F109)</f>
        <v>0</v>
      </c>
      <c r="K109">
        <f>COUNTIF('COMANDO (ABR,OCT)'!$A$1:$A$87,Planilha1!F109)</f>
        <v>0</v>
      </c>
      <c r="L109">
        <f>COUNTIF('MAQUINARIA (JUN,DEC)'!$A$1:$A$52,Planilha1!F109)</f>
        <v>0</v>
      </c>
      <c r="M109">
        <f>COUNTIF('SEGURIDAD II (AGO)'!$A$1:$A$95,Planilha1!F109)</f>
        <v>1</v>
      </c>
      <c r="N109">
        <f t="shared" si="1"/>
        <v>2</v>
      </c>
    </row>
    <row r="110" spans="6:14">
      <c r="F110" s="9" t="s">
        <v>81</v>
      </c>
      <c r="G110" t="s">
        <v>412</v>
      </c>
      <c r="H110">
        <f>COUNTIF('LIMPIEZA (ENE,MAY,SEP)'!$A$2:$A$49,Planilha1!F110)</f>
        <v>0</v>
      </c>
      <c r="I110">
        <f>COUNTIF('SEGURIDAD I (FEB)'!$A$1:$A$81,Planilha1!F110)</f>
        <v>1</v>
      </c>
      <c r="J110">
        <f>COUNTIF('PUERTA (MAR, JUL, NOV)'!$A$1:$A$47,Planilha1!F110)</f>
        <v>0</v>
      </c>
      <c r="K110">
        <f>COUNTIF('COMANDO (ABR,OCT)'!$A$1:$A$87,Planilha1!F110)</f>
        <v>0</v>
      </c>
      <c r="L110">
        <f>COUNTIF('MAQUINARIA (JUN,DEC)'!$A$1:$A$52,Planilha1!F110)</f>
        <v>0</v>
      </c>
      <c r="M110">
        <f>COUNTIF('SEGURIDAD II (AGO)'!$A$1:$A$95,Planilha1!F110)</f>
        <v>1</v>
      </c>
      <c r="N110">
        <f t="shared" si="1"/>
        <v>2</v>
      </c>
    </row>
    <row r="111" spans="6:14">
      <c r="F111" s="9" t="s">
        <v>84</v>
      </c>
      <c r="G111" t="s">
        <v>413</v>
      </c>
      <c r="H111">
        <f>COUNTIF('LIMPIEZA (ENE,MAY,SEP)'!$A$2:$A$49,Planilha1!F111)</f>
        <v>0</v>
      </c>
      <c r="I111">
        <f>COUNTIF('SEGURIDAD I (FEB)'!$A$1:$A$81,Planilha1!F111)</f>
        <v>1</v>
      </c>
      <c r="J111">
        <f>COUNTIF('PUERTA (MAR, JUL, NOV)'!$A$1:$A$47,Planilha1!F111)</f>
        <v>0</v>
      </c>
      <c r="K111">
        <f>COUNTIF('COMANDO (ABR,OCT)'!$A$1:$A$87,Planilha1!F111)</f>
        <v>0</v>
      </c>
      <c r="L111">
        <f>COUNTIF('MAQUINARIA (JUN,DEC)'!$A$1:$A$52,Planilha1!F111)</f>
        <v>0</v>
      </c>
      <c r="M111">
        <f>COUNTIF('SEGURIDAD II (AGO)'!$A$1:$A$95,Planilha1!F111)</f>
        <v>1</v>
      </c>
      <c r="N111">
        <f t="shared" si="1"/>
        <v>2</v>
      </c>
    </row>
    <row r="112" spans="6:14">
      <c r="F112" s="9" t="s">
        <v>86</v>
      </c>
      <c r="G112" t="s">
        <v>414</v>
      </c>
      <c r="H112">
        <f>COUNTIF('LIMPIEZA (ENE,MAY,SEP)'!$A$2:$A$49,Planilha1!F112)</f>
        <v>0</v>
      </c>
      <c r="I112">
        <f>COUNTIF('SEGURIDAD I (FEB)'!$A$1:$A$81,Planilha1!F112)</f>
        <v>1</v>
      </c>
      <c r="J112">
        <f>COUNTIF('PUERTA (MAR, JUL, NOV)'!$A$1:$A$47,Planilha1!F112)</f>
        <v>0</v>
      </c>
      <c r="K112">
        <f>COUNTIF('COMANDO (ABR,OCT)'!$A$1:$A$87,Planilha1!F112)</f>
        <v>0</v>
      </c>
      <c r="L112">
        <f>COUNTIF('MAQUINARIA (JUN,DEC)'!$A$1:$A$52,Planilha1!F112)</f>
        <v>0</v>
      </c>
      <c r="M112">
        <f>COUNTIF('SEGURIDAD II (AGO)'!$A$1:$A$95,Planilha1!F112)</f>
        <v>1</v>
      </c>
      <c r="N112">
        <f t="shared" si="1"/>
        <v>2</v>
      </c>
    </row>
    <row r="113" spans="6:14">
      <c r="F113" s="9" t="s">
        <v>89</v>
      </c>
      <c r="G113" t="s">
        <v>415</v>
      </c>
      <c r="H113">
        <f>COUNTIF('LIMPIEZA (ENE,MAY,SEP)'!$A$2:$A$49,Planilha1!F113)</f>
        <v>0</v>
      </c>
      <c r="I113">
        <f>COUNTIF('SEGURIDAD I (FEB)'!$A$1:$A$81,Planilha1!F113)</f>
        <v>1</v>
      </c>
      <c r="J113">
        <f>COUNTIF('PUERTA (MAR, JUL, NOV)'!$A$1:$A$47,Planilha1!F113)</f>
        <v>0</v>
      </c>
      <c r="K113">
        <f>COUNTIF('COMANDO (ABR,OCT)'!$A$1:$A$87,Planilha1!F113)</f>
        <v>0</v>
      </c>
      <c r="L113">
        <f>COUNTIF('MAQUINARIA (JUN,DEC)'!$A$1:$A$52,Planilha1!F113)</f>
        <v>0</v>
      </c>
      <c r="M113">
        <f>COUNTIF('SEGURIDAD II (AGO)'!$A$1:$A$95,Planilha1!F113)</f>
        <v>1</v>
      </c>
      <c r="N113">
        <f t="shared" si="1"/>
        <v>2</v>
      </c>
    </row>
    <row r="114" spans="6:14">
      <c r="F114" s="9" t="s">
        <v>92</v>
      </c>
      <c r="G114" t="s">
        <v>416</v>
      </c>
      <c r="H114">
        <f>COUNTIF('LIMPIEZA (ENE,MAY,SEP)'!$A$2:$A$49,Planilha1!F114)</f>
        <v>0</v>
      </c>
      <c r="I114">
        <f>COUNTIF('SEGURIDAD I (FEB)'!$A$1:$A$81,Planilha1!F114)</f>
        <v>0</v>
      </c>
      <c r="J114">
        <f>COUNTIF('PUERTA (MAR, JUL, NOV)'!$A$1:$A$47,Planilha1!F114)</f>
        <v>0</v>
      </c>
      <c r="K114">
        <f>COUNTIF('COMANDO (ABR,OCT)'!$A$1:$A$87,Planilha1!F114)</f>
        <v>0</v>
      </c>
      <c r="L114">
        <f>COUNTIF('MAQUINARIA (JUN,DEC)'!$A$1:$A$52,Planilha1!F114)</f>
        <v>0</v>
      </c>
      <c r="M114">
        <f>COUNTIF('SEGURIDAD II (AGO)'!$A$1:$A$95,Planilha1!F114)</f>
        <v>1</v>
      </c>
      <c r="N114">
        <f t="shared" si="1"/>
        <v>1</v>
      </c>
    </row>
    <row r="115" spans="6:14">
      <c r="F115" s="9" t="s">
        <v>94</v>
      </c>
      <c r="G115" t="s">
        <v>417</v>
      </c>
      <c r="H115">
        <f>COUNTIF('LIMPIEZA (ENE,MAY,SEP)'!$A$2:$A$49,Planilha1!F115)</f>
        <v>0</v>
      </c>
      <c r="I115">
        <f>COUNTIF('SEGURIDAD I (FEB)'!$A$1:$A$81,Planilha1!F115)</f>
        <v>1</v>
      </c>
      <c r="J115">
        <f>COUNTIF('PUERTA (MAR, JUL, NOV)'!$A$1:$A$47,Planilha1!F115)</f>
        <v>0</v>
      </c>
      <c r="K115">
        <f>COUNTIF('COMANDO (ABR,OCT)'!$A$1:$A$87,Planilha1!F115)</f>
        <v>0</v>
      </c>
      <c r="L115">
        <f>COUNTIF('MAQUINARIA (JUN,DEC)'!$A$1:$A$52,Planilha1!F115)</f>
        <v>0</v>
      </c>
      <c r="M115">
        <f>COUNTIF('SEGURIDAD II (AGO)'!$A$1:$A$95,Planilha1!F115)</f>
        <v>1</v>
      </c>
      <c r="N115">
        <f t="shared" si="1"/>
        <v>2</v>
      </c>
    </row>
    <row r="116" spans="6:14">
      <c r="F116" s="9" t="s">
        <v>101</v>
      </c>
      <c r="G116" t="s">
        <v>418</v>
      </c>
      <c r="H116">
        <f>COUNTIF('LIMPIEZA (ENE,MAY,SEP)'!$A$2:$A$49,Planilha1!F116)</f>
        <v>0</v>
      </c>
      <c r="I116">
        <f>COUNTIF('SEGURIDAD I (FEB)'!$A$1:$A$81,Planilha1!F116)</f>
        <v>1</v>
      </c>
      <c r="J116">
        <f>COUNTIF('PUERTA (MAR, JUL, NOV)'!$A$1:$A$47,Planilha1!F116)</f>
        <v>0</v>
      </c>
      <c r="K116">
        <f>COUNTIF('COMANDO (ABR,OCT)'!$A$1:$A$87,Planilha1!F116)</f>
        <v>0</v>
      </c>
      <c r="L116">
        <f>COUNTIF('MAQUINARIA (JUN,DEC)'!$A$1:$A$52,Planilha1!F116)</f>
        <v>0</v>
      </c>
      <c r="M116">
        <f>COUNTIF('SEGURIDAD II (AGO)'!$A$1:$A$95,Planilha1!F116)</f>
        <v>1</v>
      </c>
      <c r="N116">
        <f t="shared" si="1"/>
        <v>2</v>
      </c>
    </row>
    <row r="117" spans="6:14">
      <c r="F117" s="9" t="s">
        <v>104</v>
      </c>
      <c r="G117" t="s">
        <v>419</v>
      </c>
      <c r="H117">
        <f>COUNTIF('LIMPIEZA (ENE,MAY,SEP)'!$A$2:$A$49,Planilha1!F117)</f>
        <v>0</v>
      </c>
      <c r="I117">
        <f>COUNTIF('SEGURIDAD I (FEB)'!$A$1:$A$81,Planilha1!F117)</f>
        <v>1</v>
      </c>
      <c r="J117">
        <f>COUNTIF('PUERTA (MAR, JUL, NOV)'!$A$1:$A$47,Planilha1!F117)</f>
        <v>0</v>
      </c>
      <c r="K117">
        <f>COUNTIF('COMANDO (ABR,OCT)'!$A$1:$A$87,Planilha1!F117)</f>
        <v>0</v>
      </c>
      <c r="L117">
        <f>COUNTIF('MAQUINARIA (JUN,DEC)'!$A$1:$A$52,Planilha1!F117)</f>
        <v>0</v>
      </c>
      <c r="M117">
        <f>COUNTIF('SEGURIDAD II (AGO)'!$A$1:$A$95,Planilha1!F117)</f>
        <v>1</v>
      </c>
      <c r="N117">
        <f t="shared" si="1"/>
        <v>2</v>
      </c>
    </row>
    <row r="118" spans="6:14">
      <c r="F118" s="9" t="s">
        <v>106</v>
      </c>
      <c r="G118" t="s">
        <v>420</v>
      </c>
      <c r="H118">
        <f>COUNTIF('LIMPIEZA (ENE,MAY,SEP)'!$A$2:$A$49,Planilha1!F118)</f>
        <v>0</v>
      </c>
      <c r="I118">
        <f>COUNTIF('SEGURIDAD I (FEB)'!$A$1:$A$81,Planilha1!F118)</f>
        <v>1</v>
      </c>
      <c r="J118">
        <f>COUNTIF('PUERTA (MAR, JUL, NOV)'!$A$1:$A$47,Planilha1!F118)</f>
        <v>0</v>
      </c>
      <c r="K118">
        <f>COUNTIF('COMANDO (ABR,OCT)'!$A$1:$A$87,Planilha1!F118)</f>
        <v>0</v>
      </c>
      <c r="L118">
        <f>COUNTIF('MAQUINARIA (JUN,DEC)'!$A$1:$A$52,Planilha1!F118)</f>
        <v>0</v>
      </c>
      <c r="M118">
        <f>COUNTIF('SEGURIDAD II (AGO)'!$A$1:$A$95,Planilha1!F118)</f>
        <v>0</v>
      </c>
      <c r="N118">
        <f t="shared" si="1"/>
        <v>1</v>
      </c>
    </row>
    <row r="119" spans="6:14">
      <c r="F119" s="2" t="s">
        <v>108</v>
      </c>
      <c r="G119" t="s">
        <v>421</v>
      </c>
      <c r="H119">
        <f>COUNTIF('LIMPIEZA (ENE,MAY,SEP)'!$A$2:$A$49,Planilha1!F119)</f>
        <v>0</v>
      </c>
      <c r="I119">
        <f>COUNTIF('SEGURIDAD I (FEB)'!$A$1:$A$81,Planilha1!F119)</f>
        <v>1</v>
      </c>
      <c r="J119">
        <f>COUNTIF('PUERTA (MAR, JUL, NOV)'!$A$1:$A$47,Planilha1!F119)</f>
        <v>0</v>
      </c>
      <c r="K119">
        <f>COUNTIF('COMANDO (ABR,OCT)'!$A$1:$A$87,Planilha1!F119)</f>
        <v>0</v>
      </c>
      <c r="L119">
        <f>COUNTIF('MAQUINARIA (JUN,DEC)'!$A$1:$A$52,Planilha1!F119)</f>
        <v>0</v>
      </c>
      <c r="M119">
        <f>COUNTIF('SEGURIDAD II (AGO)'!$A$1:$A$95,Planilha1!F119)</f>
        <v>1</v>
      </c>
      <c r="N119">
        <f t="shared" si="1"/>
        <v>2</v>
      </c>
    </row>
    <row r="120" spans="6:14">
      <c r="F120" s="9" t="s">
        <v>113</v>
      </c>
      <c r="G120" t="s">
        <v>422</v>
      </c>
      <c r="H120">
        <f>COUNTIF('LIMPIEZA (ENE,MAY,SEP)'!$A$2:$A$49,Planilha1!F120)</f>
        <v>0</v>
      </c>
      <c r="I120">
        <f>COUNTIF('SEGURIDAD I (FEB)'!$A$1:$A$81,Planilha1!F120)</f>
        <v>1</v>
      </c>
      <c r="J120">
        <f>COUNTIF('PUERTA (MAR, JUL, NOV)'!$A$1:$A$47,Planilha1!F120)</f>
        <v>0</v>
      </c>
      <c r="K120">
        <f>COUNTIF('COMANDO (ABR,OCT)'!$A$1:$A$87,Planilha1!F120)</f>
        <v>0</v>
      </c>
      <c r="L120">
        <f>COUNTIF('MAQUINARIA (JUN,DEC)'!$A$1:$A$52,Planilha1!F120)</f>
        <v>0</v>
      </c>
      <c r="M120">
        <f>COUNTIF('SEGURIDAD II (AGO)'!$A$1:$A$95,Planilha1!F120)</f>
        <v>1</v>
      </c>
      <c r="N120">
        <f t="shared" si="1"/>
        <v>2</v>
      </c>
    </row>
    <row r="121" spans="6:14">
      <c r="F121" s="9" t="s">
        <v>115</v>
      </c>
      <c r="G121" t="s">
        <v>423</v>
      </c>
      <c r="H121">
        <f>COUNTIF('LIMPIEZA (ENE,MAY,SEP)'!$A$2:$A$49,Planilha1!F121)</f>
        <v>0</v>
      </c>
      <c r="I121">
        <f>COUNTIF('SEGURIDAD I (FEB)'!$A$1:$A$81,Planilha1!F121)</f>
        <v>1</v>
      </c>
      <c r="J121">
        <f>COUNTIF('PUERTA (MAR, JUL, NOV)'!$A$1:$A$47,Planilha1!F121)</f>
        <v>0</v>
      </c>
      <c r="K121">
        <f>COUNTIF('COMANDO (ABR,OCT)'!$A$1:$A$87,Planilha1!F121)</f>
        <v>0</v>
      </c>
      <c r="L121">
        <f>COUNTIF('MAQUINARIA (JUN,DEC)'!$A$1:$A$52,Planilha1!F121)</f>
        <v>0</v>
      </c>
      <c r="M121">
        <f>COUNTIF('SEGURIDAD II (AGO)'!$A$1:$A$95,Planilha1!F121)</f>
        <v>1</v>
      </c>
      <c r="N121">
        <f t="shared" si="1"/>
        <v>2</v>
      </c>
    </row>
    <row r="122" spans="6:14">
      <c r="F122" s="9" t="s">
        <v>46</v>
      </c>
      <c r="G122" t="s">
        <v>424</v>
      </c>
      <c r="H122">
        <f>COUNTIF('LIMPIEZA (ENE,MAY,SEP)'!$A$2:$A$49,Planilha1!F122)</f>
        <v>0</v>
      </c>
      <c r="I122">
        <f>COUNTIF('SEGURIDAD I (FEB)'!$A$1:$A$81,Planilha1!F122)</f>
        <v>0</v>
      </c>
      <c r="J122">
        <f>COUNTIF('PUERTA (MAR, JUL, NOV)'!$A$1:$A$47,Planilha1!F122)</f>
        <v>0</v>
      </c>
      <c r="K122">
        <f>COUNTIF('COMANDO (ABR,OCT)'!$A$1:$A$87,Planilha1!F122)</f>
        <v>0</v>
      </c>
      <c r="L122">
        <f>COUNTIF('MAQUINARIA (JUN,DEC)'!$A$1:$A$52,Planilha1!F122)</f>
        <v>0</v>
      </c>
      <c r="M122">
        <f>COUNTIF('SEGURIDAD II (AGO)'!$A$1:$A$95,Planilha1!F122)</f>
        <v>0</v>
      </c>
      <c r="N122">
        <f t="shared" si="1"/>
        <v>0</v>
      </c>
    </row>
    <row r="123" spans="6:14">
      <c r="F123" s="9" t="s">
        <v>47</v>
      </c>
      <c r="G123" t="s">
        <v>425</v>
      </c>
      <c r="H123">
        <f>COUNTIF('LIMPIEZA (ENE,MAY,SEP)'!$A$2:$A$49,Planilha1!F123)</f>
        <v>0</v>
      </c>
      <c r="I123">
        <f>COUNTIF('SEGURIDAD I (FEB)'!$A$1:$A$81,Planilha1!F123)</f>
        <v>0</v>
      </c>
      <c r="J123">
        <f>COUNTIF('PUERTA (MAR, JUL, NOV)'!$A$1:$A$47,Planilha1!F123)</f>
        <v>0</v>
      </c>
      <c r="K123">
        <f>COUNTIF('COMANDO (ABR,OCT)'!$A$1:$A$87,Planilha1!F123)</f>
        <v>0</v>
      </c>
      <c r="L123">
        <f>COUNTIF('MAQUINARIA (JUN,DEC)'!$A$1:$A$52,Planilha1!F123)</f>
        <v>0</v>
      </c>
      <c r="M123">
        <f>COUNTIF('SEGURIDAD II (AGO)'!$A$1:$A$95,Planilha1!F123)</f>
        <v>0</v>
      </c>
      <c r="N123">
        <f t="shared" si="1"/>
        <v>0</v>
      </c>
    </row>
    <row r="124" spans="6:14">
      <c r="F124" s="9" t="s">
        <v>48</v>
      </c>
      <c r="G124" t="s">
        <v>426</v>
      </c>
      <c r="H124">
        <f>COUNTIF('LIMPIEZA (ENE,MAY,SEP)'!$A$2:$A$49,Planilha1!F124)</f>
        <v>0</v>
      </c>
      <c r="I124">
        <f>COUNTIF('SEGURIDAD I (FEB)'!$A$1:$A$81,Planilha1!F124)</f>
        <v>0</v>
      </c>
      <c r="J124">
        <f>COUNTIF('PUERTA (MAR, JUL, NOV)'!$A$1:$A$47,Planilha1!F124)</f>
        <v>0</v>
      </c>
      <c r="K124">
        <f>COUNTIF('COMANDO (ABR,OCT)'!$A$1:$A$87,Planilha1!F124)</f>
        <v>0</v>
      </c>
      <c r="L124">
        <f>COUNTIF('MAQUINARIA (JUN,DEC)'!$A$1:$A$52,Planilha1!F124)</f>
        <v>0</v>
      </c>
      <c r="M124">
        <f>COUNTIF('SEGURIDAD II (AGO)'!$A$1:$A$95,Planilha1!F124)</f>
        <v>0</v>
      </c>
      <c r="N124">
        <f t="shared" si="1"/>
        <v>0</v>
      </c>
    </row>
    <row r="125" spans="6:14">
      <c r="F125" s="9" t="s">
        <v>49</v>
      </c>
      <c r="G125" t="s">
        <v>427</v>
      </c>
      <c r="H125">
        <f>COUNTIF('LIMPIEZA (ENE,MAY,SEP)'!$A$2:$A$49,Planilha1!F125)</f>
        <v>0</v>
      </c>
      <c r="I125">
        <f>COUNTIF('SEGURIDAD I (FEB)'!$A$1:$A$81,Planilha1!F125)</f>
        <v>0</v>
      </c>
      <c r="J125">
        <f>COUNTIF('PUERTA (MAR, JUL, NOV)'!$A$1:$A$47,Planilha1!F125)</f>
        <v>0</v>
      </c>
      <c r="K125">
        <f>COUNTIF('COMANDO (ABR,OCT)'!$A$1:$A$87,Planilha1!F125)</f>
        <v>0</v>
      </c>
      <c r="L125">
        <f>COUNTIF('MAQUINARIA (JUN,DEC)'!$A$1:$A$52,Planilha1!F125)</f>
        <v>0</v>
      </c>
      <c r="M125">
        <f>COUNTIF('SEGURIDAD II (AGO)'!$A$1:$A$95,Planilha1!F125)</f>
        <v>0</v>
      </c>
      <c r="N125">
        <f t="shared" si="1"/>
        <v>0</v>
      </c>
    </row>
    <row r="126" spans="6:14">
      <c r="F126" s="9" t="s">
        <v>50</v>
      </c>
      <c r="G126" t="s">
        <v>428</v>
      </c>
      <c r="H126">
        <f>COUNTIF('LIMPIEZA (ENE,MAY,SEP)'!$A$2:$A$49,Planilha1!F126)</f>
        <v>0</v>
      </c>
      <c r="I126">
        <f>COUNTIF('SEGURIDAD I (FEB)'!$A$1:$A$81,Planilha1!F126)</f>
        <v>0</v>
      </c>
      <c r="J126">
        <f>COUNTIF('PUERTA (MAR, JUL, NOV)'!$A$1:$A$47,Planilha1!F126)</f>
        <v>0</v>
      </c>
      <c r="K126">
        <f>COUNTIF('COMANDO (ABR,OCT)'!$A$1:$A$87,Planilha1!F126)</f>
        <v>0</v>
      </c>
      <c r="L126">
        <f>COUNTIF('MAQUINARIA (JUN,DEC)'!$A$1:$A$52,Planilha1!F126)</f>
        <v>0</v>
      </c>
      <c r="M126">
        <f>COUNTIF('SEGURIDAD II (AGO)'!$A$1:$A$95,Planilha1!F126)</f>
        <v>0</v>
      </c>
      <c r="N126">
        <f t="shared" si="1"/>
        <v>0</v>
      </c>
    </row>
    <row r="127" spans="6:14">
      <c r="F127" s="9" t="s">
        <v>51</v>
      </c>
      <c r="G127" t="s">
        <v>429</v>
      </c>
      <c r="H127">
        <f>COUNTIF('LIMPIEZA (ENE,MAY,SEP)'!$A$2:$A$49,Planilha1!F127)</f>
        <v>0</v>
      </c>
      <c r="I127">
        <f>COUNTIF('SEGURIDAD I (FEB)'!$A$1:$A$81,Planilha1!F127)</f>
        <v>0</v>
      </c>
      <c r="J127">
        <f>COUNTIF('PUERTA (MAR, JUL, NOV)'!$A$1:$A$47,Planilha1!F127)</f>
        <v>0</v>
      </c>
      <c r="K127">
        <f>COUNTIF('COMANDO (ABR,OCT)'!$A$1:$A$87,Planilha1!F127)</f>
        <v>0</v>
      </c>
      <c r="L127">
        <f>COUNTIF('MAQUINARIA (JUN,DEC)'!$A$1:$A$52,Planilha1!F127)</f>
        <v>0</v>
      </c>
      <c r="M127">
        <f>COUNTIF('SEGURIDAD II (AGO)'!$A$1:$A$95,Planilha1!F127)</f>
        <v>0</v>
      </c>
      <c r="N127">
        <f t="shared" si="1"/>
        <v>0</v>
      </c>
    </row>
    <row r="128" spans="6:14">
      <c r="F128" s="9" t="s">
        <v>52</v>
      </c>
      <c r="G128" t="s">
        <v>430</v>
      </c>
      <c r="H128">
        <f>COUNTIF('LIMPIEZA (ENE,MAY,SEP)'!$A$2:$A$49,Planilha1!F128)</f>
        <v>0</v>
      </c>
      <c r="I128">
        <f>COUNTIF('SEGURIDAD I (FEB)'!$A$1:$A$81,Planilha1!F128)</f>
        <v>0</v>
      </c>
      <c r="J128">
        <f>COUNTIF('PUERTA (MAR, JUL, NOV)'!$A$1:$A$47,Planilha1!F128)</f>
        <v>0</v>
      </c>
      <c r="K128">
        <f>COUNTIF('COMANDO (ABR,OCT)'!$A$1:$A$87,Planilha1!F128)</f>
        <v>0</v>
      </c>
      <c r="L128">
        <f>COUNTIF('MAQUINARIA (JUN,DEC)'!$A$1:$A$52,Planilha1!F128)</f>
        <v>0</v>
      </c>
      <c r="M128">
        <f>COUNTIF('SEGURIDAD II (AGO)'!$A$1:$A$95,Planilha1!F128)</f>
        <v>0</v>
      </c>
      <c r="N128">
        <f t="shared" si="1"/>
        <v>0</v>
      </c>
    </row>
    <row r="129" spans="6:14">
      <c r="F129" s="9" t="s">
        <v>153</v>
      </c>
      <c r="G129" t="s">
        <v>431</v>
      </c>
      <c r="H129">
        <f>COUNTIF('LIMPIEZA (ENE,MAY,SEP)'!$A$2:$A$49,Planilha1!F129)</f>
        <v>0</v>
      </c>
      <c r="I129">
        <f>COUNTIF('SEGURIDAD I (FEB)'!$A$1:$A$81,Planilha1!F129)</f>
        <v>0</v>
      </c>
      <c r="J129">
        <f>COUNTIF('PUERTA (MAR, JUL, NOV)'!$A$1:$A$47,Planilha1!F129)</f>
        <v>0</v>
      </c>
      <c r="K129">
        <f>COUNTIF('COMANDO (ABR,OCT)'!$A$1:$A$87,Planilha1!F129)</f>
        <v>0</v>
      </c>
      <c r="L129">
        <f>COUNTIF('MAQUINARIA (JUN,DEC)'!$A$1:$A$52,Planilha1!F129)</f>
        <v>0</v>
      </c>
      <c r="M129">
        <f>COUNTIF('SEGURIDAD II (AGO)'!$A$1:$A$95,Planilha1!F129)</f>
        <v>0</v>
      </c>
      <c r="N129">
        <f t="shared" si="1"/>
        <v>0</v>
      </c>
    </row>
    <row r="130" spans="6:14">
      <c r="F130" s="9" t="s">
        <v>154</v>
      </c>
      <c r="G130" t="s">
        <v>432</v>
      </c>
      <c r="H130">
        <f>COUNTIF('LIMPIEZA (ENE,MAY,SEP)'!$A$2:$A$49,Planilha1!F130)</f>
        <v>0</v>
      </c>
      <c r="I130">
        <f>COUNTIF('SEGURIDAD I (FEB)'!$A$1:$A$81,Planilha1!F130)</f>
        <v>0</v>
      </c>
      <c r="J130">
        <f>COUNTIF('PUERTA (MAR, JUL, NOV)'!$A$1:$A$47,Planilha1!F130)</f>
        <v>0</v>
      </c>
      <c r="K130">
        <f>COUNTIF('COMANDO (ABR,OCT)'!$A$1:$A$87,Planilha1!F130)</f>
        <v>0</v>
      </c>
      <c r="L130">
        <f>COUNTIF('MAQUINARIA (JUN,DEC)'!$A$1:$A$52,Planilha1!F130)</f>
        <v>0</v>
      </c>
      <c r="M130">
        <f>COUNTIF('SEGURIDAD II (AGO)'!$A$1:$A$95,Planilha1!F130)</f>
        <v>0</v>
      </c>
      <c r="N130">
        <f t="shared" si="1"/>
        <v>0</v>
      </c>
    </row>
    <row r="131" spans="6:14">
      <c r="F131" s="9" t="s">
        <v>155</v>
      </c>
      <c r="G131" t="s">
        <v>433</v>
      </c>
      <c r="H131">
        <f>COUNTIF('LIMPIEZA (ENE,MAY,SEP)'!$A$2:$A$49,Planilha1!F131)</f>
        <v>0</v>
      </c>
      <c r="I131">
        <f>COUNTIF('SEGURIDAD I (FEB)'!$A$1:$A$81,Planilha1!F131)</f>
        <v>0</v>
      </c>
      <c r="J131">
        <f>COUNTIF('PUERTA (MAR, JUL, NOV)'!$A$1:$A$47,Planilha1!F131)</f>
        <v>0</v>
      </c>
      <c r="K131">
        <f>COUNTIF('COMANDO (ABR,OCT)'!$A$1:$A$87,Planilha1!F131)</f>
        <v>0</v>
      </c>
      <c r="L131">
        <f>COUNTIF('MAQUINARIA (JUN,DEC)'!$A$1:$A$52,Planilha1!F131)</f>
        <v>0</v>
      </c>
      <c r="M131">
        <f>COUNTIF('SEGURIDAD II (AGO)'!$A$1:$A$95,Planilha1!F131)</f>
        <v>0</v>
      </c>
      <c r="N131">
        <f t="shared" si="1"/>
        <v>0</v>
      </c>
    </row>
    <row r="132" spans="6:14">
      <c r="F132" s="9" t="s">
        <v>156</v>
      </c>
      <c r="G132" t="s">
        <v>434</v>
      </c>
      <c r="H132">
        <f>COUNTIF('LIMPIEZA (ENE,MAY,SEP)'!$A$2:$A$49,Planilha1!F132)</f>
        <v>0</v>
      </c>
      <c r="I132">
        <f>COUNTIF('SEGURIDAD I (FEB)'!$A$1:$A$81,Planilha1!F132)</f>
        <v>0</v>
      </c>
      <c r="J132">
        <f>COUNTIF('PUERTA (MAR, JUL, NOV)'!$A$1:$A$47,Planilha1!F132)</f>
        <v>0</v>
      </c>
      <c r="K132">
        <f>COUNTIF('COMANDO (ABR,OCT)'!$A$1:$A$87,Planilha1!F132)</f>
        <v>0</v>
      </c>
      <c r="L132">
        <f>COUNTIF('MAQUINARIA (JUN,DEC)'!$A$1:$A$52,Planilha1!F132)</f>
        <v>0</v>
      </c>
      <c r="M132">
        <f>COUNTIF('SEGURIDAD II (AGO)'!$A$1:$A$95,Planilha1!F132)</f>
        <v>0</v>
      </c>
      <c r="N132">
        <f t="shared" si="1"/>
        <v>0</v>
      </c>
    </row>
  </sheetData>
  <conditionalFormatting sqref="N1:N1048576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6ec7f58a-8404-4877-b736-bea143f77ded}" enabled="1" method="Standard" siteId="{84d9a216-e285-4aac-b163-0dfd0c0745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LIMPIEZA (ENE,MAY,SEP)</vt:lpstr>
      <vt:lpstr>SEGURIDAD I (FEB)</vt:lpstr>
      <vt:lpstr>PUERTA (MAR, JUL, NOV)</vt:lpstr>
      <vt:lpstr>COMANDO (ABR,OCT)</vt:lpstr>
      <vt:lpstr>MAQUINARIA (JUN,DEC)</vt:lpstr>
      <vt:lpstr>SEGURIDAD II (AGO)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Heinen, Henrique</dc:creator>
  <cp:keywords/>
  <dc:description/>
  <cp:lastModifiedBy>Ester Abigail Hernandez Garcia</cp:lastModifiedBy>
  <cp:revision/>
  <cp:lastPrinted>2025-12-18T22:11:25Z</cp:lastPrinted>
  <dcterms:created xsi:type="dcterms:W3CDTF">2015-06-05T18:19:34Z</dcterms:created>
  <dcterms:modified xsi:type="dcterms:W3CDTF">2026-09-29T20:19:02Z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c7f58a-8404-4877-b736-bea143f77ded_Enabled">
    <vt:lpwstr>true</vt:lpwstr>
  </property>
  <property fmtid="{D5CDD505-2E9C-101B-9397-08002B2CF9AE}" pid="3" name="MSIP_Label_6ec7f58a-8404-4877-b736-bea143f77ded_SetDate">
    <vt:lpwstr>2024-09-03T18:15:20Z</vt:lpwstr>
  </property>
  <property fmtid="{D5CDD505-2E9C-101B-9397-08002B2CF9AE}" pid="4" name="MSIP_Label_6ec7f58a-8404-4877-b736-bea143f77ded_Method">
    <vt:lpwstr>Standard</vt:lpwstr>
  </property>
  <property fmtid="{D5CDD505-2E9C-101B-9397-08002B2CF9AE}" pid="5" name="MSIP_Label_6ec7f58a-8404-4877-b736-bea143f77ded_Name">
    <vt:lpwstr>General</vt:lpwstr>
  </property>
  <property fmtid="{D5CDD505-2E9C-101B-9397-08002B2CF9AE}" pid="6" name="MSIP_Label_6ec7f58a-8404-4877-b736-bea143f77ded_SiteId">
    <vt:lpwstr>84d9a216-e285-4aac-b163-0dfd0c074546</vt:lpwstr>
  </property>
  <property fmtid="{D5CDD505-2E9C-101B-9397-08002B2CF9AE}" pid="7" name="MSIP_Label_6ec7f58a-8404-4877-b736-bea143f77ded_ActionId">
    <vt:lpwstr>4b15eaf3-1ed5-4d20-81cd-984e7a5fb2d7</vt:lpwstr>
  </property>
  <property fmtid="{D5CDD505-2E9C-101B-9397-08002B2CF9AE}" pid="8" name="MSIP_Label_6ec7f58a-8404-4877-b736-bea143f77ded_ContentBits">
    <vt:lpwstr>0</vt:lpwstr>
  </property>
</Properties>
</file>